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rsist\Desktop\FARI\Datasets\"/>
    </mc:Choice>
  </mc:AlternateContent>
  <xr:revisionPtr revIDLastSave="0" documentId="13_ncr:1_{F3896868-E78B-4105-9D9B-B7AFD550F641}" xr6:coauthVersionLast="47" xr6:coauthVersionMax="47" xr10:uidLastSave="{00000000-0000-0000-0000-000000000000}"/>
  <bookViews>
    <workbookView xWindow="-108" yWindow="-108" windowWidth="23256" windowHeight="12456" xr2:uid="{BF2C4E39-CC0D-4CAB-85E9-42B8E2ACE8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21" i="1" l="1"/>
  <c r="AH21" i="1"/>
  <c r="AC21" i="1"/>
  <c r="T21" i="1"/>
  <c r="Q21" i="1"/>
  <c r="N21" i="1"/>
  <c r="J21" i="1"/>
  <c r="U21" i="1" s="1"/>
  <c r="G21" i="1"/>
  <c r="AM20" i="1"/>
  <c r="AH20" i="1"/>
  <c r="AC20" i="1"/>
  <c r="T20" i="1"/>
  <c r="Q20" i="1"/>
  <c r="N20" i="1"/>
  <c r="J20" i="1"/>
  <c r="G20" i="1"/>
  <c r="U20" i="1" s="1"/>
  <c r="AM19" i="1"/>
  <c r="AH19" i="1"/>
  <c r="AC19" i="1"/>
  <c r="T19" i="1"/>
  <c r="Q19" i="1"/>
  <c r="N19" i="1"/>
  <c r="J19" i="1"/>
  <c r="U19" i="1" s="1"/>
  <c r="G19" i="1"/>
  <c r="AM18" i="1"/>
  <c r="AH18" i="1"/>
  <c r="AC18" i="1"/>
  <c r="T18" i="1"/>
  <c r="Q18" i="1"/>
  <c r="N18" i="1"/>
  <c r="J18" i="1"/>
  <c r="G18" i="1"/>
  <c r="U18" i="1" s="1"/>
  <c r="AM17" i="1"/>
  <c r="AH17" i="1"/>
  <c r="AC17" i="1"/>
  <c r="T17" i="1"/>
  <c r="Q17" i="1"/>
  <c r="N17" i="1"/>
  <c r="J17" i="1"/>
  <c r="U17" i="1" s="1"/>
  <c r="G17" i="1"/>
  <c r="AM16" i="1"/>
  <c r="AH16" i="1"/>
  <c r="AC16" i="1"/>
  <c r="T16" i="1"/>
  <c r="Q16" i="1"/>
  <c r="N16" i="1"/>
  <c r="J16" i="1"/>
  <c r="G16" i="1"/>
  <c r="U16" i="1" s="1"/>
  <c r="AM15" i="1"/>
  <c r="AH15" i="1"/>
  <c r="AC15" i="1"/>
  <c r="T15" i="1"/>
  <c r="Q15" i="1"/>
  <c r="N15" i="1"/>
  <c r="J15" i="1"/>
  <c r="U15" i="1" s="1"/>
  <c r="G15" i="1"/>
  <c r="AM14" i="1"/>
  <c r="AH14" i="1"/>
  <c r="AC14" i="1"/>
  <c r="T14" i="1"/>
  <c r="Q14" i="1"/>
  <c r="N14" i="1"/>
  <c r="J14" i="1"/>
  <c r="G14" i="1"/>
  <c r="U14" i="1" s="1"/>
  <c r="AM13" i="1"/>
  <c r="AH13" i="1"/>
  <c r="AC13" i="1"/>
  <c r="T13" i="1"/>
  <c r="Q13" i="1"/>
  <c r="N13" i="1"/>
  <c r="J13" i="1"/>
  <c r="U13" i="1" s="1"/>
  <c r="G13" i="1"/>
  <c r="AM12" i="1"/>
  <c r="AH12" i="1"/>
  <c r="AC12" i="1"/>
  <c r="T12" i="1"/>
  <c r="Q12" i="1"/>
  <c r="N12" i="1"/>
  <c r="J12" i="1"/>
  <c r="G12" i="1"/>
  <c r="U12" i="1" s="1"/>
  <c r="AM11" i="1"/>
  <c r="AH11" i="1"/>
  <c r="AC11" i="1"/>
  <c r="T11" i="1"/>
  <c r="Q11" i="1"/>
  <c r="N11" i="1"/>
  <c r="J11" i="1"/>
  <c r="U11" i="1" s="1"/>
  <c r="G11" i="1"/>
  <c r="AM10" i="1"/>
  <c r="AH10" i="1"/>
  <c r="AC10" i="1"/>
  <c r="T10" i="1"/>
  <c r="Q10" i="1"/>
  <c r="N10" i="1"/>
  <c r="J10" i="1"/>
  <c r="G10" i="1"/>
  <c r="U10" i="1" s="1"/>
  <c r="AM9" i="1"/>
  <c r="AH9" i="1"/>
  <c r="AC9" i="1"/>
  <c r="U9" i="1"/>
  <c r="T9" i="1"/>
  <c r="Q9" i="1"/>
  <c r="N9" i="1"/>
  <c r="J9" i="1"/>
  <c r="G9" i="1"/>
  <c r="AM8" i="1"/>
  <c r="AH8" i="1"/>
  <c r="AC8" i="1"/>
  <c r="T8" i="1"/>
  <c r="Q8" i="1"/>
  <c r="N8" i="1"/>
  <c r="J8" i="1"/>
  <c r="G8" i="1"/>
  <c r="U8" i="1" s="1"/>
  <c r="AM7" i="1"/>
  <c r="AH7" i="1"/>
  <c r="AC7" i="1"/>
  <c r="T7" i="1"/>
  <c r="Q7" i="1"/>
  <c r="N7" i="1"/>
  <c r="J7" i="1"/>
  <c r="U7" i="1" s="1"/>
  <c r="G7" i="1"/>
  <c r="AM6" i="1"/>
  <c r="AH6" i="1"/>
  <c r="AC6" i="1"/>
  <c r="T6" i="1"/>
  <c r="Q6" i="1"/>
  <c r="N6" i="1"/>
  <c r="J6" i="1"/>
  <c r="G6" i="1"/>
  <c r="U6" i="1" s="1"/>
  <c r="AM5" i="1"/>
  <c r="AH5" i="1"/>
  <c r="AC5" i="1"/>
  <c r="T5" i="1"/>
  <c r="Q5" i="1"/>
  <c r="N5" i="1"/>
  <c r="J5" i="1"/>
  <c r="U5" i="1" s="1"/>
  <c r="G5" i="1"/>
  <c r="AM4" i="1"/>
  <c r="AH4" i="1"/>
  <c r="AC4" i="1"/>
  <c r="T4" i="1"/>
  <c r="Q4" i="1"/>
  <c r="N4" i="1"/>
  <c r="J4" i="1"/>
  <c r="G4" i="1"/>
  <c r="U4" i="1" s="1"/>
  <c r="T3" i="1"/>
  <c r="Q3" i="1"/>
  <c r="N3" i="1"/>
  <c r="J3" i="1"/>
  <c r="G3" i="1"/>
  <c r="U3" i="1" l="1"/>
</calcChain>
</file>

<file path=xl/sharedStrings.xml><?xml version="1.0" encoding="utf-8"?>
<sst xmlns="http://schemas.openxmlformats.org/spreadsheetml/2006/main" count="39" uniqueCount="39">
  <si>
    <t>NISCode</t>
  </si>
  <si>
    <t>NARenewed</t>
  </si>
  <si>
    <t>LuxuriousQuality</t>
  </si>
  <si>
    <t>NormalQuality</t>
  </si>
  <si>
    <t>BasicQuality</t>
  </si>
  <si>
    <t>NAQuality</t>
  </si>
  <si>
    <t>ClosedConstructionType</t>
  </si>
  <si>
    <t>HalfOpenConstructionType</t>
  </si>
  <si>
    <t>OpenConstructionType</t>
  </si>
  <si>
    <t>NAConstructionType</t>
  </si>
  <si>
    <t>Anderlecht</t>
  </si>
  <si>
    <t>Auderghem</t>
  </si>
  <si>
    <t>Berchem-Sainte-Agathe</t>
  </si>
  <si>
    <t>Bruxelles</t>
  </si>
  <si>
    <t>Etterbeek</t>
  </si>
  <si>
    <t>Evere</t>
  </si>
  <si>
    <t>Forest</t>
  </si>
  <si>
    <t>Ganshoren</t>
  </si>
  <si>
    <t>Ixelles</t>
  </si>
  <si>
    <t>Jette</t>
  </si>
  <si>
    <t>Koekelberg</t>
  </si>
  <si>
    <t>Molenbeek-Saint-Jean</t>
  </si>
  <si>
    <t>Saint-Gilles</t>
  </si>
  <si>
    <t>Saint-Josse-ten-Noode</t>
  </si>
  <si>
    <t>Schaerbeek</t>
  </si>
  <si>
    <t>Uccle</t>
  </si>
  <si>
    <t>Watermael-Boitsfort</t>
  </si>
  <si>
    <t>Woluwe-Saint-Lambert</t>
  </si>
  <si>
    <t>Woluwe-Saint-Pierre</t>
  </si>
  <si>
    <t>Construction year</t>
  </si>
  <si>
    <t xml:space="preserve"> &lt;1900</t>
  </si>
  <si>
    <t xml:space="preserve"> 1900-1940</t>
  </si>
  <si>
    <t xml:space="preserve"> 1941-1960</t>
  </si>
  <si>
    <t xml:space="preserve"> 1961 -1990</t>
  </si>
  <si>
    <t xml:space="preserve"> 1991-2010</t>
  </si>
  <si>
    <t xml:space="preserve"> &lt;2011</t>
  </si>
  <si>
    <t xml:space="preserve">Renovation Year </t>
  </si>
  <si>
    <t>Unknown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</si>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</sst>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AEDF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0" fontId="0" fillId="0" borderId="0" xfId="0" applyFill="1"/>
    <xf numFmtId="2" fontId="0" fillId="0" borderId="0" xfId="0" applyNumberFormat="1" applyFill="1"/>
    <xf numFmtId="0" fontId="1" fillId="0" borderId="0" xfId="0" applyFont="1"/>
    <xf numFmtId="0" fontId="1" fillId="0" borderId="0" xfId="0" applyFont="1" applyFill="1"/>
    <xf numFmtId="0" fontId="0" fillId="0" borderId="0" xfId="0" applyFont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2" borderId="5" xfId="0" applyFont="1" applyFill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06E53F-53F0-4E06-9BE0-28127D01F71F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ed486b5c-569f-452f-a6ce-f71186a5632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2AB8-AF55-4A4D-B898-46F02570CA80}">
  <dimension ref="A1:AN21"/>
  <sheetViews>
    <sheetView tabSelected="1" workbookViewId="0">
      <selection activeCell="V8" sqref="V8"/>
    </sheetView>
  </sheetViews>
  <sheetFormatPr defaultRowHeight="14.4" x14ac:dyDescent="0.3"/>
  <cols>
    <col min="3" max="3" width="8.88671875" style="3"/>
    <col min="4" max="6" width="0" style="3" hidden="1" customWidth="1"/>
    <col min="7" max="7" width="8.88671875" style="3"/>
    <col min="8" max="9" width="0" style="3" hidden="1" customWidth="1"/>
    <col min="10" max="10" width="8.88671875" style="3"/>
    <col min="11" max="13" width="0" style="3" hidden="1" customWidth="1"/>
    <col min="14" max="14" width="8.88671875" style="3"/>
    <col min="15" max="16" width="0" style="3" hidden="1" customWidth="1"/>
    <col min="17" max="17" width="8.88671875" style="3"/>
    <col min="18" max="19" width="0" style="3" hidden="1" customWidth="1"/>
    <col min="20" max="20" width="8.88671875" style="3"/>
    <col min="21" max="21" width="0" style="3" hidden="1" customWidth="1"/>
    <col min="22" max="22" width="8.88671875" style="3"/>
    <col min="23" max="27" width="12.44140625" bestFit="1" customWidth="1"/>
    <col min="28" max="39" width="0" hidden="1" customWidth="1"/>
  </cols>
  <sheetData>
    <row r="1" spans="1:40" s="5" customFormat="1" x14ac:dyDescent="0.3">
      <c r="C1" s="8" t="s">
        <v>29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  <c r="U1" s="6"/>
      <c r="V1" s="6"/>
      <c r="W1" s="14" t="s">
        <v>36</v>
      </c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6"/>
    </row>
    <row r="2" spans="1:40" s="5" customFormat="1" x14ac:dyDescent="0.3">
      <c r="A2" s="7" t="s">
        <v>0</v>
      </c>
      <c r="B2" s="7" t="s">
        <v>38</v>
      </c>
      <c r="C2" s="11" t="s">
        <v>30</v>
      </c>
      <c r="D2" s="12">
        <v>1900</v>
      </c>
      <c r="E2" s="12">
        <v>1919</v>
      </c>
      <c r="F2" s="12">
        <v>1931</v>
      </c>
      <c r="G2" s="12" t="s">
        <v>31</v>
      </c>
      <c r="H2" s="12">
        <v>1941</v>
      </c>
      <c r="I2" s="12">
        <v>1951</v>
      </c>
      <c r="J2" s="12" t="s">
        <v>32</v>
      </c>
      <c r="K2" s="12">
        <v>1961</v>
      </c>
      <c r="L2" s="12">
        <v>1971</v>
      </c>
      <c r="M2" s="12">
        <v>1981</v>
      </c>
      <c r="N2" s="12" t="s">
        <v>33</v>
      </c>
      <c r="O2" s="12">
        <v>1991</v>
      </c>
      <c r="P2" s="12">
        <v>2001</v>
      </c>
      <c r="Q2" s="12" t="s">
        <v>34</v>
      </c>
      <c r="R2" s="12">
        <v>2011</v>
      </c>
      <c r="S2" s="12">
        <v>2021</v>
      </c>
      <c r="T2" s="13" t="s">
        <v>35</v>
      </c>
      <c r="U2" s="6"/>
      <c r="V2" s="6"/>
      <c r="W2" s="17">
        <v>1982</v>
      </c>
      <c r="X2" s="18">
        <v>1992</v>
      </c>
      <c r="Y2" s="18">
        <v>2002</v>
      </c>
      <c r="Z2" s="18">
        <v>2012</v>
      </c>
      <c r="AA2" s="18">
        <v>2022</v>
      </c>
      <c r="AB2" s="18" t="s">
        <v>1</v>
      </c>
      <c r="AC2" s="19"/>
      <c r="AD2" s="18" t="s">
        <v>2</v>
      </c>
      <c r="AE2" s="18" t="s">
        <v>3</v>
      </c>
      <c r="AF2" s="18" t="s">
        <v>4</v>
      </c>
      <c r="AG2" s="18" t="s">
        <v>5</v>
      </c>
      <c r="AH2" s="19"/>
      <c r="AI2" s="18" t="s">
        <v>6</v>
      </c>
      <c r="AJ2" s="18" t="s">
        <v>7</v>
      </c>
      <c r="AK2" s="18" t="s">
        <v>8</v>
      </c>
      <c r="AL2" s="18" t="s">
        <v>9</v>
      </c>
      <c r="AM2" s="19"/>
      <c r="AN2" s="20" t="s">
        <v>37</v>
      </c>
    </row>
    <row r="3" spans="1:40" x14ac:dyDescent="0.3">
      <c r="A3">
        <v>21001</v>
      </c>
      <c r="B3" t="s">
        <v>10</v>
      </c>
      <c r="C3" s="4">
        <v>5.7232609677905195</v>
      </c>
      <c r="D3" s="4">
        <v>10.723583708070658</v>
      </c>
      <c r="E3" s="4">
        <v>11.392731888891278</v>
      </c>
      <c r="F3" s="4">
        <v>7.2035630526927292</v>
      </c>
      <c r="G3" s="4">
        <f>SUM(D3:F3)</f>
        <v>29.319878649654665</v>
      </c>
      <c r="H3" s="4">
        <v>3.1650063472255097</v>
      </c>
      <c r="I3" s="4">
        <v>11.678894937280806</v>
      </c>
      <c r="J3" s="4">
        <f>SUM(H3:I3)</f>
        <v>14.843901284506316</v>
      </c>
      <c r="K3" s="4">
        <v>16.638337242076727</v>
      </c>
      <c r="L3" s="4">
        <v>6.6570561783247637</v>
      </c>
      <c r="M3" s="4">
        <v>0.99404006282677448</v>
      </c>
      <c r="N3" s="4">
        <f>SUM(K3:M3)</f>
        <v>24.289433483228262</v>
      </c>
      <c r="O3" s="4">
        <v>3.9051573896766141</v>
      </c>
      <c r="P3" s="4">
        <v>6.4913828345202997</v>
      </c>
      <c r="Q3" s="4">
        <f>SUM(O3:P3)</f>
        <v>10.396540224196913</v>
      </c>
      <c r="R3" s="4">
        <v>10.861286227596445</v>
      </c>
      <c r="S3" s="4">
        <v>2.2139983217505432</v>
      </c>
      <c r="T3" s="4">
        <f>SUM(R3:S3)</f>
        <v>13.075284549346987</v>
      </c>
      <c r="U3" s="4">
        <f>C3+G3+J3+N3+Q3+T3</f>
        <v>97.64829915872366</v>
      </c>
      <c r="V3" s="4"/>
      <c r="W3" s="1">
        <v>2.2806979796458462</v>
      </c>
      <c r="X3" s="1">
        <v>3.0316070314349033</v>
      </c>
      <c r="Y3" s="1">
        <v>6.1213073132947482</v>
      </c>
      <c r="Z3" s="1">
        <v>6.6183273447081357</v>
      </c>
      <c r="AA3" s="1">
        <v>10.260989306538718</v>
      </c>
      <c r="AB3" s="1">
        <v>71.687071024377644</v>
      </c>
      <c r="AC3" s="2"/>
      <c r="AD3" s="1">
        <v>0.19579576995072831</v>
      </c>
      <c r="AE3" s="1">
        <v>96.411128084859172</v>
      </c>
      <c r="AF3" s="1">
        <v>0.23237300169976546</v>
      </c>
      <c r="AG3" s="1">
        <v>3.1607031434903288</v>
      </c>
      <c r="AH3" s="2"/>
      <c r="AI3" s="1">
        <v>26.548615444198205</v>
      </c>
      <c r="AJ3" s="1">
        <v>3.326376487294791</v>
      </c>
      <c r="AK3" s="1">
        <v>0.63257094907158384</v>
      </c>
      <c r="AL3" s="1">
        <v>69.492437119435422</v>
      </c>
      <c r="AM3" s="2"/>
      <c r="AN3" s="1">
        <v>71.687071024377644</v>
      </c>
    </row>
    <row r="4" spans="1:40" x14ac:dyDescent="0.3">
      <c r="A4">
        <v>21002</v>
      </c>
      <c r="B4" t="s">
        <v>11</v>
      </c>
      <c r="C4" s="4">
        <v>2.1567293095325342</v>
      </c>
      <c r="D4" s="4">
        <v>5.501753651258964</v>
      </c>
      <c r="E4" s="4">
        <v>6.7528660419829345</v>
      </c>
      <c r="F4" s="4">
        <v>8.0144479924619159</v>
      </c>
      <c r="G4" s="4">
        <f>SUM(D4:F4)</f>
        <v>20.269067685703817</v>
      </c>
      <c r="H4" s="4">
        <v>3.3973721405014898</v>
      </c>
      <c r="I4" s="4">
        <v>14.6940271161598</v>
      </c>
      <c r="J4" s="4">
        <f>SUM(H4:I4)</f>
        <v>18.09139925666129</v>
      </c>
      <c r="K4" s="4">
        <v>22.582840391561501</v>
      </c>
      <c r="L4" s="4">
        <v>3.9993718264146998</v>
      </c>
      <c r="M4" s="4">
        <v>3.8370936502120099</v>
      </c>
      <c r="N4" s="4">
        <f>SUM(K4:M4)</f>
        <v>30.419305868188211</v>
      </c>
      <c r="O4" s="4">
        <v>2.8895984923834002</v>
      </c>
      <c r="P4" s="4">
        <v>14.191488247919199</v>
      </c>
      <c r="Q4" s="4">
        <f>SUM(O4:P4)</f>
        <v>17.081086740302599</v>
      </c>
      <c r="R4" s="4">
        <v>10.092655603831901</v>
      </c>
      <c r="S4" s="4">
        <v>0.83233000052347805</v>
      </c>
      <c r="T4" s="4">
        <f>SUM(R4:S4)</f>
        <v>10.924985604355379</v>
      </c>
      <c r="U4" s="4">
        <f>C4+G4+J4+N4+Q4+T4</f>
        <v>98.942574464743842</v>
      </c>
      <c r="V4" s="4"/>
      <c r="W4" s="1">
        <v>1.3662775480291054</v>
      </c>
      <c r="X4" s="1">
        <v>2.0782076113699417</v>
      </c>
      <c r="Y4" s="1">
        <v>5.0620321415484479</v>
      </c>
      <c r="Z4" s="1">
        <v>10.537611893419882</v>
      </c>
      <c r="AA4" s="1">
        <v>2.6487986180181124</v>
      </c>
      <c r="AB4" s="1">
        <v>78.307072187614509</v>
      </c>
      <c r="AC4" s="2">
        <f>SUM(W4:AB4)</f>
        <v>100</v>
      </c>
      <c r="AD4" s="1">
        <v>8.375647804009842E-2</v>
      </c>
      <c r="AE4" s="1">
        <v>98.523792074543266</v>
      </c>
      <c r="AF4" s="1">
        <v>5.2347798775061509E-2</v>
      </c>
      <c r="AG4" s="1">
        <v>1.3401036486415747</v>
      </c>
      <c r="AH4" s="2">
        <f>SUM(AD4:AG4)</f>
        <v>100</v>
      </c>
      <c r="AI4" s="1">
        <v>25.100769512641996</v>
      </c>
      <c r="AJ4" s="1">
        <v>7.0407789352457728</v>
      </c>
      <c r="AK4" s="1">
        <v>2.224781447940114</v>
      </c>
      <c r="AL4" s="1">
        <v>65.633670104172111</v>
      </c>
      <c r="AM4" s="2">
        <f>SUM(AI4:AL4)</f>
        <v>100</v>
      </c>
      <c r="AN4" s="1">
        <v>78.307072187614509</v>
      </c>
    </row>
    <row r="5" spans="1:40" x14ac:dyDescent="0.3">
      <c r="A5">
        <v>21003</v>
      </c>
      <c r="B5" t="s">
        <v>12</v>
      </c>
      <c r="C5" s="4">
        <v>0.81694689845160062</v>
      </c>
      <c r="D5" s="4">
        <v>4.2367246129001614</v>
      </c>
      <c r="E5" s="4">
        <v>7.8369905956112857</v>
      </c>
      <c r="F5" s="4">
        <v>10.392324498907572</v>
      </c>
      <c r="G5" s="4">
        <f>SUM(D5:F5)</f>
        <v>22.466039707419021</v>
      </c>
      <c r="H5" s="4">
        <v>3.4577752446090999</v>
      </c>
      <c r="I5" s="4">
        <v>12.871663341882799</v>
      </c>
      <c r="J5" s="4">
        <f>SUM(H5:I5)</f>
        <v>16.3294385864919</v>
      </c>
      <c r="K5" s="4">
        <v>16.072955257908198</v>
      </c>
      <c r="L5" s="4">
        <v>11.636743611665199</v>
      </c>
      <c r="M5" s="4">
        <v>6.2125961812482204</v>
      </c>
      <c r="N5" s="4">
        <f>SUM(K5:M5)</f>
        <v>33.922295050821617</v>
      </c>
      <c r="O5" s="4">
        <v>6.2315949463284896</v>
      </c>
      <c r="P5" s="4">
        <v>12.7101738387005</v>
      </c>
      <c r="Q5" s="4">
        <f>SUM(O5:P5)</f>
        <v>18.941768785028991</v>
      </c>
      <c r="R5" s="4">
        <v>5.8801177923435004</v>
      </c>
      <c r="S5" s="4">
        <v>1.08292960957538</v>
      </c>
      <c r="T5" s="4">
        <f>SUM(R5:S5)</f>
        <v>6.9630474019188799</v>
      </c>
      <c r="U5" s="4">
        <f>C5+G5+J5+N5+Q5+T5</f>
        <v>99.439536430132023</v>
      </c>
      <c r="V5" s="4"/>
      <c r="W5" s="1">
        <v>1.9758715683480574</v>
      </c>
      <c r="X5" s="1">
        <v>2.9258098223615465</v>
      </c>
      <c r="Y5" s="1">
        <v>6.3835850669706469</v>
      </c>
      <c r="Z5" s="1">
        <v>10.031347962382444</v>
      </c>
      <c r="AA5" s="1">
        <v>1.8143820651657643</v>
      </c>
      <c r="AB5" s="1">
        <v>76.869003514771535</v>
      </c>
      <c r="AC5" s="2">
        <f>SUM(W5:AB5)</f>
        <v>100</v>
      </c>
      <c r="AD5" s="1">
        <v>0.10449320794148381</v>
      </c>
      <c r="AE5" s="1">
        <v>98.138121022133561</v>
      </c>
      <c r="AF5" s="1">
        <v>8.5494442861214021E-2</v>
      </c>
      <c r="AG5" s="1">
        <v>1.671891327063741</v>
      </c>
      <c r="AH5" s="2">
        <f>SUM(AD5:AG5)</f>
        <v>100.00000000000001</v>
      </c>
      <c r="AI5" s="1">
        <v>27.491213071150376</v>
      </c>
      <c r="AJ5" s="1">
        <v>4.8921820081694687</v>
      </c>
      <c r="AK5" s="1">
        <v>0.97843640163389378</v>
      </c>
      <c r="AL5" s="1">
        <v>66.63816851904626</v>
      </c>
      <c r="AM5" s="2">
        <f>SUM(AI5:AL5)</f>
        <v>100</v>
      </c>
      <c r="AN5" s="1">
        <v>76.869003514771535</v>
      </c>
    </row>
    <row r="6" spans="1:40" x14ac:dyDescent="0.3">
      <c r="A6">
        <v>21004</v>
      </c>
      <c r="B6" t="s">
        <v>13</v>
      </c>
      <c r="C6" s="4">
        <v>15.454534638858815</v>
      </c>
      <c r="D6" s="4">
        <v>8.991945558159733</v>
      </c>
      <c r="E6" s="4">
        <v>7.3667804837424011</v>
      </c>
      <c r="F6" s="4">
        <v>5.1538909973469123</v>
      </c>
      <c r="G6" s="4">
        <f>SUM(D6:F6)</f>
        <v>21.512617039249047</v>
      </c>
      <c r="H6" s="4">
        <v>1.9154581038154499</v>
      </c>
      <c r="I6" s="4">
        <v>9.8961369612030499</v>
      </c>
      <c r="J6" s="4">
        <f>SUM(H6:I6)</f>
        <v>11.8115950650185</v>
      </c>
      <c r="K6" s="4">
        <v>12.8145336870784</v>
      </c>
      <c r="L6" s="4">
        <v>8.8931983391431597</v>
      </c>
      <c r="M6" s="4">
        <v>1.7441376274493501</v>
      </c>
      <c r="N6" s="4">
        <f>SUM(K6:M6)</f>
        <v>23.451869653670911</v>
      </c>
      <c r="O6" s="4">
        <v>4.1140708838471003</v>
      </c>
      <c r="P6" s="4">
        <v>7.9366590127657597</v>
      </c>
      <c r="Q6" s="4">
        <f>SUM(O6:P6)</f>
        <v>12.050729896612861</v>
      </c>
      <c r="R6" s="4">
        <v>11.380914423042601</v>
      </c>
      <c r="S6" s="4">
        <v>1.91307865275481</v>
      </c>
      <c r="T6" s="4">
        <f>SUM(R6:S6)</f>
        <v>13.293993075797411</v>
      </c>
      <c r="U6" s="4">
        <f>C6+G6+J6+N6+Q6+T6</f>
        <v>97.575339369207555</v>
      </c>
      <c r="V6" s="4"/>
      <c r="W6" s="1">
        <v>1.3539076535043366</v>
      </c>
      <c r="X6" s="1">
        <v>3.2503301488346641</v>
      </c>
      <c r="Y6" s="1">
        <v>5.9474379260704557</v>
      </c>
      <c r="Z6" s="1">
        <v>14.901312267259941</v>
      </c>
      <c r="AA6" s="1">
        <v>2.3116367054120612</v>
      </c>
      <c r="AB6" s="1">
        <v>72.235375298918541</v>
      </c>
      <c r="AC6" s="2">
        <f>SUM(W6:AB6)</f>
        <v>100</v>
      </c>
      <c r="AD6" s="1">
        <v>0.26292934220075431</v>
      </c>
      <c r="AE6" s="1">
        <v>95.520683378344614</v>
      </c>
      <c r="AF6" s="1">
        <v>0.36405601227796747</v>
      </c>
      <c r="AG6" s="1">
        <v>3.8523312671766625</v>
      </c>
      <c r="AH6" s="2">
        <f>SUM(AD6:AG6)</f>
        <v>100</v>
      </c>
      <c r="AI6" s="1">
        <v>19.85770882657371</v>
      </c>
      <c r="AJ6" s="1">
        <v>1.1921049813807953</v>
      </c>
      <c r="AK6" s="1">
        <v>0.52942786099246897</v>
      </c>
      <c r="AL6" s="1">
        <v>78.420758331053037</v>
      </c>
      <c r="AM6" s="2">
        <f>SUM(AI6:AL6)</f>
        <v>100.00000000000001</v>
      </c>
      <c r="AN6" s="1">
        <v>72.235375298918541</v>
      </c>
    </row>
    <row r="7" spans="1:40" x14ac:dyDescent="0.3">
      <c r="A7">
        <v>21005</v>
      </c>
      <c r="B7" t="s">
        <v>14</v>
      </c>
      <c r="C7" s="4">
        <v>6.4692387904066742</v>
      </c>
      <c r="D7" s="4">
        <v>19.854014598540147</v>
      </c>
      <c r="E7" s="4">
        <v>10.573514077163711</v>
      </c>
      <c r="F7" s="4">
        <v>8.2252346193952039</v>
      </c>
      <c r="G7" s="4">
        <f>SUM(D7:F7)</f>
        <v>38.652763295099064</v>
      </c>
      <c r="H7" s="4">
        <v>1.91449426485923</v>
      </c>
      <c r="I7" s="4">
        <v>15.040667361835199</v>
      </c>
      <c r="J7" s="4">
        <f>SUM(H7:I7)</f>
        <v>16.95516162669443</v>
      </c>
      <c r="K7" s="4">
        <v>10.7653806047967</v>
      </c>
      <c r="L7" s="4">
        <v>6.4942648592283598</v>
      </c>
      <c r="M7" s="4">
        <v>0.54223149113660096</v>
      </c>
      <c r="N7" s="4">
        <f>SUM(K7:M7)</f>
        <v>17.80187695516166</v>
      </c>
      <c r="O7" s="4">
        <v>4.7340980187695498</v>
      </c>
      <c r="P7" s="4">
        <v>10.281543274243999</v>
      </c>
      <c r="Q7" s="4">
        <f>SUM(O7:P7)</f>
        <v>15.015641293013548</v>
      </c>
      <c r="R7" s="4">
        <v>4.5380604796663198</v>
      </c>
      <c r="S7" s="4">
        <v>0.246089676746611</v>
      </c>
      <c r="T7" s="4">
        <f>SUM(R7:S7)</f>
        <v>4.784150156412931</v>
      </c>
      <c r="U7" s="4">
        <f>C7+G7+J7+N7+Q7+T7</f>
        <v>99.678832116788314</v>
      </c>
      <c r="V7" s="4"/>
      <c r="W7" s="1">
        <v>1.2346193952033369</v>
      </c>
      <c r="X7" s="1">
        <v>3.5036496350364965</v>
      </c>
      <c r="Y7" s="1">
        <v>5.1720542231491144</v>
      </c>
      <c r="Z7" s="1">
        <v>10.978102189781023</v>
      </c>
      <c r="AA7" s="1">
        <v>6.214807090719499</v>
      </c>
      <c r="AB7" s="1">
        <v>72.896767466110532</v>
      </c>
      <c r="AC7" s="2">
        <f>SUM(W7:AB7)</f>
        <v>100</v>
      </c>
      <c r="AD7" s="1">
        <v>0.26694473409801878</v>
      </c>
      <c r="AE7" s="1">
        <v>98.815432742440052</v>
      </c>
      <c r="AF7" s="1">
        <v>2.0855057351407715E-2</v>
      </c>
      <c r="AG7" s="1">
        <v>0.89676746611053182</v>
      </c>
      <c r="AH7" s="2">
        <f>SUM(AD7:AG7)</f>
        <v>100.00000000000001</v>
      </c>
      <c r="AI7" s="1">
        <v>21.092805005213762</v>
      </c>
      <c r="AJ7" s="1">
        <v>0.59645464025026074</v>
      </c>
      <c r="AK7" s="1">
        <v>3.3368091762252347E-2</v>
      </c>
      <c r="AL7" s="1">
        <v>78.277372262773724</v>
      </c>
      <c r="AM7" s="2">
        <f>SUM(AI7:AL7)</f>
        <v>100</v>
      </c>
      <c r="AN7" s="1">
        <v>72.896767466110532</v>
      </c>
    </row>
    <row r="8" spans="1:40" x14ac:dyDescent="0.3">
      <c r="A8">
        <v>21006</v>
      </c>
      <c r="B8" t="s">
        <v>15</v>
      </c>
      <c r="C8" s="4">
        <v>0.7150715071507151</v>
      </c>
      <c r="D8" s="4">
        <v>2.5602560256025604</v>
      </c>
      <c r="E8" s="4">
        <v>4.3754375437543755</v>
      </c>
      <c r="F8" s="4">
        <v>5.715571557155716</v>
      </c>
      <c r="G8" s="4">
        <f>SUM(D8:F8)</f>
        <v>12.651265126512651</v>
      </c>
      <c r="H8" s="4">
        <v>2.1752175217521801</v>
      </c>
      <c r="I8" s="4">
        <v>7.8707870787078704</v>
      </c>
      <c r="J8" s="4">
        <f>SUM(H8:I8)</f>
        <v>10.046004600460051</v>
      </c>
      <c r="K8" s="4">
        <v>15.521552155215501</v>
      </c>
      <c r="L8" s="4">
        <v>19.6819681968197</v>
      </c>
      <c r="M8" s="4">
        <v>3.4503450345034499</v>
      </c>
      <c r="N8" s="4">
        <f>SUM(K8:M8)</f>
        <v>38.653865386538648</v>
      </c>
      <c r="O8" s="4">
        <v>8.9808980898089796</v>
      </c>
      <c r="P8" s="4">
        <v>17.166716671667199</v>
      </c>
      <c r="Q8" s="4">
        <f>SUM(O8:P8)</f>
        <v>26.147614761476177</v>
      </c>
      <c r="R8" s="4">
        <v>9.6009600960096009</v>
      </c>
      <c r="S8" s="4">
        <v>0.24002400240023999</v>
      </c>
      <c r="T8" s="4">
        <f>SUM(R8:S8)</f>
        <v>9.8409840984098409</v>
      </c>
      <c r="U8" s="4">
        <f>C8+G8+J8+N8+Q8+T8</f>
        <v>98.054805480548083</v>
      </c>
      <c r="V8" s="4"/>
      <c r="W8" s="1">
        <v>0.68006800680068002</v>
      </c>
      <c r="X8" s="1">
        <v>2.5902590259025899</v>
      </c>
      <c r="Y8" s="1">
        <v>3.3653365336533652</v>
      </c>
      <c r="Z8" s="1">
        <v>10.576057605760576</v>
      </c>
      <c r="AA8" s="1">
        <v>1.0651065106510651</v>
      </c>
      <c r="AB8" s="1">
        <v>81.723172317231715</v>
      </c>
      <c r="AC8" s="2">
        <f>SUM(W8:AB8)</f>
        <v>100</v>
      </c>
      <c r="AD8" s="1">
        <v>4.0004000400040006E-2</v>
      </c>
      <c r="AE8" s="1">
        <v>97.754775477547753</v>
      </c>
      <c r="AF8" s="1">
        <v>6.5006500650065011E-2</v>
      </c>
      <c r="AG8" s="1">
        <v>2.1402140214021403</v>
      </c>
      <c r="AH8" s="2">
        <f>SUM(AD8:AG8)</f>
        <v>100.00000000000001</v>
      </c>
      <c r="AI8" s="1">
        <v>16.941694169416941</v>
      </c>
      <c r="AJ8" s="1">
        <v>3.2053205320532054</v>
      </c>
      <c r="AK8" s="1">
        <v>5.5005500550055E-2</v>
      </c>
      <c r="AL8" s="1">
        <v>79.797979797979806</v>
      </c>
      <c r="AM8" s="2">
        <f>SUM(AI8:AL8)</f>
        <v>100.00000000000001</v>
      </c>
      <c r="AN8" s="1">
        <v>81.723172317231715</v>
      </c>
    </row>
    <row r="9" spans="1:40" x14ac:dyDescent="0.3">
      <c r="A9">
        <v>21007</v>
      </c>
      <c r="B9" t="s">
        <v>16</v>
      </c>
      <c r="C9" s="4">
        <v>3.3578459982101863</v>
      </c>
      <c r="D9" s="4">
        <v>19.660713590910859</v>
      </c>
      <c r="E9" s="4">
        <v>12.696004046535153</v>
      </c>
      <c r="F9" s="4">
        <v>11.622115870977783</v>
      </c>
      <c r="G9" s="4">
        <f>SUM(D9:F9)</f>
        <v>43.97883350842379</v>
      </c>
      <c r="H9" s="4">
        <v>1.7119956421929099</v>
      </c>
      <c r="I9" s="4">
        <v>10.3887008287615</v>
      </c>
      <c r="J9" s="4">
        <f>SUM(H9:I9)</f>
        <v>12.100696470954411</v>
      </c>
      <c r="K9" s="4">
        <v>16.5869032333372</v>
      </c>
      <c r="L9" s="4">
        <v>7.4588537410995697</v>
      </c>
      <c r="M9" s="4">
        <v>0.93770670401929901</v>
      </c>
      <c r="N9" s="4">
        <f>SUM(K9:M9)</f>
        <v>24.983463678456069</v>
      </c>
      <c r="O9" s="4">
        <v>1.8754134080386</v>
      </c>
      <c r="P9" s="4">
        <v>3.36562779658379</v>
      </c>
      <c r="Q9" s="4">
        <f>SUM(O9:P9)</f>
        <v>5.2410412046223902</v>
      </c>
      <c r="R9" s="4">
        <v>7.3187813703746896</v>
      </c>
      <c r="S9" s="4">
        <v>1.7586864324345399</v>
      </c>
      <c r="T9" s="4">
        <f>SUM(R9:S9)</f>
        <v>9.0774678028092293</v>
      </c>
      <c r="U9" s="4">
        <f>C9+G9+J9+N9+Q9+T9</f>
        <v>98.739348663476065</v>
      </c>
      <c r="V9" s="4"/>
      <c r="W9" s="1">
        <v>1.2878876308314853</v>
      </c>
      <c r="X9" s="1">
        <v>4.1282440371969962</v>
      </c>
      <c r="Y9" s="1">
        <v>9.5404848060386751</v>
      </c>
      <c r="Z9" s="1">
        <v>6.9258005525076838</v>
      </c>
      <c r="AA9" s="1">
        <v>2.101085560873118</v>
      </c>
      <c r="AB9" s="1">
        <v>76.016497412552042</v>
      </c>
      <c r="AC9" s="2">
        <f>SUM(W9:AB9)</f>
        <v>100</v>
      </c>
      <c r="AD9" s="1">
        <v>5.8363487802031051E-2</v>
      </c>
      <c r="AE9" s="1">
        <v>97.856114548072057</v>
      </c>
      <c r="AF9" s="1">
        <v>0.12061787479086417</v>
      </c>
      <c r="AG9" s="1">
        <v>1.9649040893350451</v>
      </c>
      <c r="AH9" s="2">
        <f>SUM(AD9:AG9)</f>
        <v>100</v>
      </c>
      <c r="AI9" s="1">
        <v>18.392280456013385</v>
      </c>
      <c r="AJ9" s="1">
        <v>1.8520680129177853</v>
      </c>
      <c r="AK9" s="1">
        <v>0.21010855608731177</v>
      </c>
      <c r="AL9" s="1">
        <v>79.545542974981515</v>
      </c>
      <c r="AM9" s="2">
        <f>SUM(AI9:AL9)</f>
        <v>100</v>
      </c>
      <c r="AN9" s="1">
        <v>76.016497412552042</v>
      </c>
    </row>
    <row r="10" spans="1:40" x14ac:dyDescent="0.3">
      <c r="A10">
        <v>21008</v>
      </c>
      <c r="B10" t="s">
        <v>17</v>
      </c>
      <c r="C10" s="4">
        <v>1.0266194240029074</v>
      </c>
      <c r="D10" s="4">
        <v>3.7612428454619788</v>
      </c>
      <c r="E10" s="4">
        <v>4.3154356318706277</v>
      </c>
      <c r="F10" s="4">
        <v>9.3667666030707721</v>
      </c>
      <c r="G10" s="4">
        <f>SUM(D10:F10)</f>
        <v>17.443445080403379</v>
      </c>
      <c r="H10" s="4">
        <v>2.81638957027346</v>
      </c>
      <c r="I10" s="4">
        <v>17.207231761606302</v>
      </c>
      <c r="J10" s="4">
        <f>SUM(H10:I10)</f>
        <v>20.023621331879763</v>
      </c>
      <c r="K10" s="4">
        <v>34.8868901608068</v>
      </c>
      <c r="L10" s="4">
        <v>11.6743890251658</v>
      </c>
      <c r="M10" s="4">
        <v>0.86308712637412599</v>
      </c>
      <c r="N10" s="4">
        <f>SUM(K10:M10)</f>
        <v>47.424366312346727</v>
      </c>
      <c r="O10" s="4">
        <v>2.3984736985554602</v>
      </c>
      <c r="P10" s="4">
        <v>9.7210865812664693</v>
      </c>
      <c r="Q10" s="4">
        <f>SUM(O10:P10)</f>
        <v>12.119560279821929</v>
      </c>
      <c r="R10" s="4">
        <v>1.78977014627055</v>
      </c>
      <c r="S10" s="4">
        <v>9.0851276460434297E-2</v>
      </c>
      <c r="T10" s="4">
        <f>SUM(R10:S10)</f>
        <v>1.8806214227309843</v>
      </c>
      <c r="U10" s="4">
        <f>C10+G10+J10+N10+Q10+T10</f>
        <v>99.918233851185676</v>
      </c>
      <c r="V10" s="4"/>
      <c r="W10" s="1">
        <v>1.2900881257381667</v>
      </c>
      <c r="X10" s="1">
        <v>2.6346870173525936</v>
      </c>
      <c r="Y10" s="1">
        <v>5.7599709275915325</v>
      </c>
      <c r="Z10" s="1">
        <v>5.6600345234850549</v>
      </c>
      <c r="AA10" s="1">
        <v>3.6613064413555012</v>
      </c>
      <c r="AB10" s="1">
        <v>80.993912964477161</v>
      </c>
      <c r="AC10" s="2">
        <f>SUM(W10:AB10)</f>
        <v>100</v>
      </c>
      <c r="AD10" s="1">
        <v>1.8170255292086854E-2</v>
      </c>
      <c r="AE10" s="1">
        <v>99.491232851821565</v>
      </c>
      <c r="AF10" s="1">
        <v>8.1766148814390843E-2</v>
      </c>
      <c r="AG10" s="1">
        <v>0.40883074407195419</v>
      </c>
      <c r="AH10" s="2">
        <f>SUM(AD10:AG10)</f>
        <v>100</v>
      </c>
      <c r="AI10" s="1">
        <v>18.07940401562642</v>
      </c>
      <c r="AJ10" s="1">
        <v>2.6437721449986373</v>
      </c>
      <c r="AK10" s="1">
        <v>0.10902153175252113</v>
      </c>
      <c r="AL10" s="1">
        <v>79.167802307622424</v>
      </c>
      <c r="AM10" s="2">
        <f>SUM(AI10:AL10)</f>
        <v>100</v>
      </c>
      <c r="AN10" s="1">
        <v>80.993912964477161</v>
      </c>
    </row>
    <row r="11" spans="1:40" x14ac:dyDescent="0.3">
      <c r="A11">
        <v>21009</v>
      </c>
      <c r="B11" t="s">
        <v>18</v>
      </c>
      <c r="C11" s="4">
        <v>13.586767385207477</v>
      </c>
      <c r="D11" s="4">
        <v>22.635059059550862</v>
      </c>
      <c r="E11" s="4">
        <v>5.2856762676820406</v>
      </c>
      <c r="F11" s="4">
        <v>6.8333026264611352</v>
      </c>
      <c r="G11" s="4">
        <f>SUM(D11:F11)</f>
        <v>34.754037953694038</v>
      </c>
      <c r="H11" s="4">
        <v>2.9048701099306</v>
      </c>
      <c r="I11" s="4">
        <v>12.155827140780801</v>
      </c>
      <c r="J11" s="4">
        <f>SUM(H11:I11)</f>
        <v>15.060697250711401</v>
      </c>
      <c r="K11" s="4">
        <v>9.2775696534217698</v>
      </c>
      <c r="L11" s="4">
        <v>7.2447747139143104</v>
      </c>
      <c r="M11" s="4">
        <v>0.80861430121394495</v>
      </c>
      <c r="N11" s="4">
        <f>SUM(K11:M11)</f>
        <v>17.330958668550029</v>
      </c>
      <c r="O11" s="4">
        <v>3.81174640217814</v>
      </c>
      <c r="P11" s="4">
        <v>7.7299432946426698</v>
      </c>
      <c r="Q11" s="4">
        <f>SUM(O11:P11)</f>
        <v>11.541689696820811</v>
      </c>
      <c r="R11" s="4">
        <v>6.33789842166677</v>
      </c>
      <c r="S11" s="4">
        <v>0.77995455382914702</v>
      </c>
      <c r="T11" s="4">
        <f>SUM(R11:S11)</f>
        <v>7.117852975495917</v>
      </c>
      <c r="U11" s="4">
        <f>C11+G11+J11+N11+Q11+T11</f>
        <v>99.392003930479675</v>
      </c>
      <c r="V11" s="4"/>
      <c r="W11" s="1">
        <v>1.3715736248439068</v>
      </c>
      <c r="X11" s="1">
        <v>5.4064566316608325</v>
      </c>
      <c r="Y11" s="1">
        <v>6.3747466683043665</v>
      </c>
      <c r="Z11" s="1">
        <v>11.818051546602797</v>
      </c>
      <c r="AA11" s="1">
        <v>3.7605682818481445</v>
      </c>
      <c r="AB11" s="1">
        <v>71.268603246739957</v>
      </c>
      <c r="AC11" s="2">
        <f>SUM(W11:AB11)</f>
        <v>100</v>
      </c>
      <c r="AD11" s="1">
        <v>0.42170771151917136</v>
      </c>
      <c r="AE11" s="1">
        <v>96.632479682286231</v>
      </c>
      <c r="AF11" s="1">
        <v>9.007349178079388E-2</v>
      </c>
      <c r="AG11" s="1">
        <v>2.8557391144138058</v>
      </c>
      <c r="AH11" s="2">
        <f>SUM(AD11:AG11)</f>
        <v>100.00000000000001</v>
      </c>
      <c r="AI11" s="1">
        <v>18.213269463039161</v>
      </c>
      <c r="AJ11" s="1">
        <v>0.59366619582795965</v>
      </c>
      <c r="AK11" s="1">
        <v>9.4167741407193598E-2</v>
      </c>
      <c r="AL11" s="1">
        <v>81.098896599725691</v>
      </c>
      <c r="AM11" s="2">
        <f>SUM(AI11:AL11)</f>
        <v>100</v>
      </c>
      <c r="AN11" s="1">
        <v>71.268603246739957</v>
      </c>
    </row>
    <row r="12" spans="1:40" x14ac:dyDescent="0.3">
      <c r="A12">
        <v>21010</v>
      </c>
      <c r="B12" t="s">
        <v>19</v>
      </c>
      <c r="C12" s="4">
        <v>4.2174127715602365</v>
      </c>
      <c r="D12" s="4">
        <v>5.2049045424621454</v>
      </c>
      <c r="E12" s="4">
        <v>7.472021066491112</v>
      </c>
      <c r="F12" s="4">
        <v>11.09282422646478</v>
      </c>
      <c r="G12" s="4">
        <f>SUM(D12:F12)</f>
        <v>23.76974983541804</v>
      </c>
      <c r="H12" s="4">
        <v>2.3658657011191599</v>
      </c>
      <c r="I12" s="4">
        <v>9.9942396313364092</v>
      </c>
      <c r="J12" s="4">
        <f>SUM(H12:I12)</f>
        <v>12.36010533245557</v>
      </c>
      <c r="K12" s="4">
        <v>15.886273864384499</v>
      </c>
      <c r="L12" s="4">
        <v>15.9726793943384</v>
      </c>
      <c r="M12" s="4">
        <v>3.16408821593153</v>
      </c>
      <c r="N12" s="4">
        <f>SUM(K12:M12)</f>
        <v>35.023041474654427</v>
      </c>
      <c r="O12" s="4">
        <v>4.6165240289664302</v>
      </c>
      <c r="P12" s="4">
        <v>9.3770572745227092</v>
      </c>
      <c r="Q12" s="4">
        <f>SUM(O12:P12)</f>
        <v>13.99358130348914</v>
      </c>
      <c r="R12" s="4">
        <v>6.3898946675444401</v>
      </c>
      <c r="S12" s="4">
        <v>1.45243581303489</v>
      </c>
      <c r="T12" s="4">
        <f>SUM(R12:S12)</f>
        <v>7.8423304805793297</v>
      </c>
      <c r="U12" s="4">
        <f>C12+G12+J12+N12+Q12+T12</f>
        <v>97.20622119815674</v>
      </c>
      <c r="V12" s="4"/>
      <c r="W12" s="1">
        <v>1.1438446346280449</v>
      </c>
      <c r="X12" s="1">
        <v>1.8392034233048058</v>
      </c>
      <c r="Y12" s="1">
        <v>7.1922317314022379</v>
      </c>
      <c r="Z12" s="1">
        <v>10.339861751152075</v>
      </c>
      <c r="AA12" s="1">
        <v>2.0037853851217906</v>
      </c>
      <c r="AB12" s="1">
        <v>77.481073074391048</v>
      </c>
      <c r="AC12" s="2">
        <f>SUM(W12:AB12)</f>
        <v>100</v>
      </c>
      <c r="AD12" s="1">
        <v>0.14400921658986177</v>
      </c>
      <c r="AE12" s="1">
        <v>96.786537195523366</v>
      </c>
      <c r="AF12" s="1">
        <v>6.1718235681369325E-2</v>
      </c>
      <c r="AG12" s="1">
        <v>3.0077353522053984</v>
      </c>
      <c r="AH12" s="2">
        <f>SUM(AD12:AG12)</f>
        <v>100</v>
      </c>
      <c r="AI12" s="1">
        <v>20.412277814351548</v>
      </c>
      <c r="AJ12" s="1">
        <v>1.3084265964450297</v>
      </c>
      <c r="AK12" s="1">
        <v>0.4320276497695853</v>
      </c>
      <c r="AL12" s="1">
        <v>77.847267939433834</v>
      </c>
      <c r="AM12" s="2">
        <f>SUM(AI12:AL12)</f>
        <v>100</v>
      </c>
      <c r="AN12" s="1">
        <v>77.481073074391048</v>
      </c>
    </row>
    <row r="13" spans="1:40" x14ac:dyDescent="0.3">
      <c r="A13">
        <v>21011</v>
      </c>
      <c r="B13" t="s">
        <v>20</v>
      </c>
      <c r="C13" s="4">
        <v>8.3089272155331386</v>
      </c>
      <c r="D13" s="4">
        <v>8.840438225404057</v>
      </c>
      <c r="E13" s="4">
        <v>9.1983946198069209</v>
      </c>
      <c r="F13" s="4">
        <v>8.1462197635318372</v>
      </c>
      <c r="G13" s="4">
        <f>SUM(D13:F13)</f>
        <v>26.185052608742815</v>
      </c>
      <c r="H13" s="4">
        <v>3.38431500162707</v>
      </c>
      <c r="I13" s="4">
        <v>14.7629894782514</v>
      </c>
      <c r="J13" s="4">
        <f>SUM(H13:I13)</f>
        <v>18.147304479878471</v>
      </c>
      <c r="K13" s="4">
        <v>21.151968760169201</v>
      </c>
      <c r="L13" s="4">
        <v>6.2045775029829704</v>
      </c>
      <c r="M13" s="4">
        <v>2.22366851068446</v>
      </c>
      <c r="N13" s="4">
        <f>SUM(K13:M13)</f>
        <v>29.58021477383663</v>
      </c>
      <c r="O13" s="4">
        <v>5.3693459160429597</v>
      </c>
      <c r="P13" s="4">
        <v>8.5475648118017098</v>
      </c>
      <c r="Q13" s="4">
        <f>SUM(O13:P13)</f>
        <v>13.91691072784467</v>
      </c>
      <c r="R13" s="4">
        <v>1.7463933181472999</v>
      </c>
      <c r="S13" s="4">
        <v>1.4860613949452199</v>
      </c>
      <c r="T13" s="4">
        <f>SUM(R13:S13)</f>
        <v>3.2324547130925199</v>
      </c>
      <c r="U13" s="4">
        <f>C13+G13+J13+N13+Q13+T13</f>
        <v>99.370864518928244</v>
      </c>
      <c r="V13" s="4"/>
      <c r="W13" s="1">
        <v>1.8765592797483459</v>
      </c>
      <c r="X13" s="1">
        <v>4.2954767328343637</v>
      </c>
      <c r="Y13" s="1">
        <v>7.4953899555266297</v>
      </c>
      <c r="Z13" s="1">
        <v>7.7231803883284513</v>
      </c>
      <c r="AA13" s="1">
        <v>1.6053801930795097</v>
      </c>
      <c r="AB13" s="1">
        <v>77.004013450482702</v>
      </c>
      <c r="AC13" s="2">
        <f>SUM(W13:AB13)</f>
        <v>100</v>
      </c>
      <c r="AD13" s="1">
        <v>0</v>
      </c>
      <c r="AE13" s="1">
        <v>98.448855624254264</v>
      </c>
      <c r="AF13" s="1">
        <v>0.10847163466753444</v>
      </c>
      <c r="AG13" s="1">
        <v>1.4426727410782081</v>
      </c>
      <c r="AH13" s="2">
        <f>SUM(AD13:AG13)</f>
        <v>100.00000000000001</v>
      </c>
      <c r="AI13" s="1">
        <v>16.400911161731209</v>
      </c>
      <c r="AJ13" s="1">
        <v>0.19524894240156199</v>
      </c>
      <c r="AK13" s="1">
        <v>2.169432693350689E-2</v>
      </c>
      <c r="AL13" s="1">
        <v>83.382145568933723</v>
      </c>
      <c r="AM13" s="2">
        <f>SUM(AI13:AL13)</f>
        <v>100</v>
      </c>
      <c r="AN13" s="1">
        <v>77.004013450482702</v>
      </c>
    </row>
    <row r="14" spans="1:40" x14ac:dyDescent="0.3">
      <c r="A14">
        <v>21012</v>
      </c>
      <c r="B14" t="s">
        <v>21</v>
      </c>
      <c r="C14" s="4">
        <v>8.4322565917132746</v>
      </c>
      <c r="D14" s="4">
        <v>12.29882433512156</v>
      </c>
      <c r="E14" s="4">
        <v>4.2118479625613512</v>
      </c>
      <c r="F14" s="4">
        <v>6.4575961648213678</v>
      </c>
      <c r="G14" s="4">
        <f>SUM(D14:F14)</f>
        <v>22.96826846250428</v>
      </c>
      <c r="H14" s="4">
        <v>1.48670243122931</v>
      </c>
      <c r="I14" s="4">
        <v>7.4278050450861803</v>
      </c>
      <c r="J14" s="4">
        <f>SUM(H14:I14)</f>
        <v>8.9145074763154906</v>
      </c>
      <c r="K14" s="4">
        <v>17.546512955142099</v>
      </c>
      <c r="L14" s="4">
        <v>12.4900125556443</v>
      </c>
      <c r="M14" s="4">
        <v>1.6750370962218899</v>
      </c>
      <c r="N14" s="4">
        <f>SUM(K14:M14)</f>
        <v>31.711562607008286</v>
      </c>
      <c r="O14" s="4">
        <v>6.9198721607122504</v>
      </c>
      <c r="P14" s="4">
        <v>11.9535441159685</v>
      </c>
      <c r="Q14" s="4">
        <f>SUM(O14:P14)</f>
        <v>18.87341627668075</v>
      </c>
      <c r="R14" s="4">
        <v>5.9411026138568701</v>
      </c>
      <c r="S14" s="4">
        <v>1.5694555416048399</v>
      </c>
      <c r="T14" s="4">
        <f>SUM(R14:S14)</f>
        <v>7.5105581554617098</v>
      </c>
      <c r="U14" s="4">
        <f>C14+G14+J14+N14+Q14+T14</f>
        <v>98.410569569683801</v>
      </c>
      <c r="V14" s="4"/>
      <c r="W14" s="1">
        <v>1.2127611003310124</v>
      </c>
      <c r="X14" s="1">
        <v>3.2473461933569223</v>
      </c>
      <c r="Y14" s="1">
        <v>4.4629608492181259</v>
      </c>
      <c r="Z14" s="1">
        <v>9.2569341399383642</v>
      </c>
      <c r="AA14" s="1">
        <v>1.492409542289693</v>
      </c>
      <c r="AB14" s="1">
        <v>80.32758817486588</v>
      </c>
      <c r="AC14" s="2">
        <f>SUM(W14:AB14)</f>
        <v>100</v>
      </c>
      <c r="AD14" s="1">
        <v>7.7045999315146663E-2</v>
      </c>
      <c r="AE14" s="1">
        <v>97.514553133203975</v>
      </c>
      <c r="AF14" s="1">
        <v>0.34242666362287411</v>
      </c>
      <c r="AG14" s="1">
        <v>2.0659742038580071</v>
      </c>
      <c r="AH14" s="2">
        <f>SUM(AD14:AG14)</f>
        <v>100</v>
      </c>
      <c r="AI14" s="1">
        <v>18.048738728455653</v>
      </c>
      <c r="AJ14" s="1">
        <v>0.39379066316630523</v>
      </c>
      <c r="AK14" s="1">
        <v>0.13697066544914965</v>
      </c>
      <c r="AL14" s="1">
        <v>81.420499942928899</v>
      </c>
      <c r="AM14" s="2">
        <f>SUM(AI14:AL14)</f>
        <v>100</v>
      </c>
      <c r="AN14" s="1">
        <v>80.32758817486588</v>
      </c>
    </row>
    <row r="15" spans="1:40" x14ac:dyDescent="0.3">
      <c r="A15">
        <v>21013</v>
      </c>
      <c r="B15" t="s">
        <v>22</v>
      </c>
      <c r="C15" s="4">
        <v>7.4429653090513188</v>
      </c>
      <c r="D15" s="4">
        <v>51.09120601771663</v>
      </c>
      <c r="E15" s="4">
        <v>6.4730044044143122</v>
      </c>
      <c r="F15" s="4">
        <v>2.9742168555451078</v>
      </c>
      <c r="G15" s="4">
        <f>SUM(D15:F15)</f>
        <v>60.53842727767605</v>
      </c>
      <c r="H15" s="4">
        <v>0.54931459395259097</v>
      </c>
      <c r="I15" s="4">
        <v>4.9091898846934203</v>
      </c>
      <c r="J15" s="4">
        <f>SUM(H15:I15)</f>
        <v>5.4585044786460113</v>
      </c>
      <c r="K15" s="4">
        <v>8.3733359726827299</v>
      </c>
      <c r="L15" s="4">
        <v>7.5270945711881998</v>
      </c>
      <c r="M15" s="4">
        <v>1.5588657395951899</v>
      </c>
      <c r="N15" s="4">
        <f>SUM(K15:M15)</f>
        <v>17.45929628346612</v>
      </c>
      <c r="O15" s="4">
        <v>2.0933339931706798</v>
      </c>
      <c r="P15" s="4">
        <v>3.7066363141485601</v>
      </c>
      <c r="Q15" s="4">
        <f>SUM(O15:P15)</f>
        <v>5.7999703073192403</v>
      </c>
      <c r="R15" s="4">
        <v>2.8010095511456399</v>
      </c>
      <c r="S15" s="4">
        <v>0.31672192804473698</v>
      </c>
      <c r="T15" s="4">
        <f>SUM(R15:S15)</f>
        <v>3.1177314791903767</v>
      </c>
      <c r="U15" s="4">
        <f>C15+G15+J15+N15+Q15+T15</f>
        <v>99.816895135349114</v>
      </c>
      <c r="V15" s="4"/>
      <c r="W15" s="1">
        <v>3.335477804721136</v>
      </c>
      <c r="X15" s="1">
        <v>4.5380313752659971</v>
      </c>
      <c r="Y15" s="1">
        <v>10.714108972138368</v>
      </c>
      <c r="Z15" s="1">
        <v>8.7791359429900524</v>
      </c>
      <c r="AA15" s="1">
        <v>6.1018458949868855</v>
      </c>
      <c r="AB15" s="1">
        <v>66.531400009897553</v>
      </c>
      <c r="AC15" s="2">
        <f>SUM(W15:AB15)</f>
        <v>100</v>
      </c>
      <c r="AD15" s="1">
        <v>6.4334141634087197E-2</v>
      </c>
      <c r="AE15" s="1">
        <v>98.480724501410393</v>
      </c>
      <c r="AF15" s="1">
        <v>0.50477557282129948</v>
      </c>
      <c r="AG15" s="1">
        <v>0.95016578413421093</v>
      </c>
      <c r="AH15" s="2">
        <f>SUM(AD15:AG15)</f>
        <v>100</v>
      </c>
      <c r="AI15" s="1">
        <v>25.322907903201862</v>
      </c>
      <c r="AJ15" s="1">
        <v>0.1682585242737665</v>
      </c>
      <c r="AK15" s="1">
        <v>1.4846340377097046E-2</v>
      </c>
      <c r="AL15" s="1">
        <v>74.493987232147276</v>
      </c>
      <c r="AM15" s="2">
        <f>SUM(AI15:AL15)</f>
        <v>100</v>
      </c>
      <c r="AN15" s="1">
        <v>66.531400009897553</v>
      </c>
    </row>
    <row r="16" spans="1:40" x14ac:dyDescent="0.3">
      <c r="A16">
        <v>21014</v>
      </c>
      <c r="B16" t="s">
        <v>23</v>
      </c>
      <c r="C16" s="4">
        <v>38.098339303158582</v>
      </c>
      <c r="D16" s="4">
        <v>8.748507543688266</v>
      </c>
      <c r="E16" s="4">
        <v>1.3025073266037122</v>
      </c>
      <c r="F16" s="4">
        <v>3.1151633561272116</v>
      </c>
      <c r="G16" s="4">
        <f>SUM(D16:F16)</f>
        <v>13.16617822641919</v>
      </c>
      <c r="H16" s="4">
        <v>1.73667643547162</v>
      </c>
      <c r="I16" s="4">
        <v>5.6224899598393598</v>
      </c>
      <c r="J16" s="4">
        <f>SUM(H16:I16)</f>
        <v>7.3591663953109796</v>
      </c>
      <c r="K16" s="4">
        <v>13.361554325409699</v>
      </c>
      <c r="L16" s="4">
        <v>9.4214696624335197</v>
      </c>
      <c r="M16" s="4">
        <v>7.5979594051883204E-2</v>
      </c>
      <c r="N16" s="4">
        <f>SUM(K16:M16)</f>
        <v>22.859003581895102</v>
      </c>
      <c r="O16" s="4">
        <v>3.1260175838489102</v>
      </c>
      <c r="P16" s="4">
        <v>9.0090090090090094</v>
      </c>
      <c r="Q16" s="4">
        <f>SUM(O16:P16)</f>
        <v>12.135026592857919</v>
      </c>
      <c r="R16" s="4">
        <v>5.6767610984478498</v>
      </c>
      <c r="S16" s="4">
        <v>0</v>
      </c>
      <c r="T16" s="4">
        <f>SUM(R16:S16)</f>
        <v>5.6767610984478498</v>
      </c>
      <c r="U16" s="4">
        <f>C16+G16+J16+N16+Q16+T16</f>
        <v>99.294475198089629</v>
      </c>
      <c r="V16" s="4"/>
      <c r="W16" s="1">
        <v>1.7475306631933136</v>
      </c>
      <c r="X16" s="1">
        <v>3.820688158037556</v>
      </c>
      <c r="Y16" s="1">
        <v>14.370997503527624</v>
      </c>
      <c r="Z16" s="1">
        <v>12.970802127428632</v>
      </c>
      <c r="AA16" s="1">
        <v>1.9320525344621728</v>
      </c>
      <c r="AB16" s="1">
        <v>65.157929013350696</v>
      </c>
      <c r="AC16" s="2">
        <f>SUM(W16:AB16)</f>
        <v>100</v>
      </c>
      <c r="AD16" s="1">
        <v>2.1708455443395201E-2</v>
      </c>
      <c r="AE16" s="1">
        <v>97.069358515141644</v>
      </c>
      <c r="AF16" s="1">
        <v>0.85748399001411046</v>
      </c>
      <c r="AG16" s="1">
        <v>2.0514490394008469</v>
      </c>
      <c r="AH16" s="2">
        <f>SUM(AD16:AG16)</f>
        <v>100</v>
      </c>
      <c r="AI16" s="1">
        <v>27.971344838814716</v>
      </c>
      <c r="AJ16" s="1">
        <v>0.10854227721697601</v>
      </c>
      <c r="AK16" s="1">
        <v>6.5125366330185605E-2</v>
      </c>
      <c r="AL16" s="1">
        <v>71.854987517638122</v>
      </c>
      <c r="AM16" s="2">
        <f>SUM(AI16:AL16)</f>
        <v>100</v>
      </c>
      <c r="AN16" s="1">
        <v>65.157929013350696</v>
      </c>
    </row>
    <row r="17" spans="1:40" x14ac:dyDescent="0.3">
      <c r="A17">
        <v>21015</v>
      </c>
      <c r="B17" t="s">
        <v>24</v>
      </c>
      <c r="C17" s="4">
        <v>14.725617574151636</v>
      </c>
      <c r="D17" s="4">
        <v>20.296606547568167</v>
      </c>
      <c r="E17" s="4">
        <v>14.308915291905292</v>
      </c>
      <c r="F17" s="4">
        <v>7.3339601675356869</v>
      </c>
      <c r="G17" s="4">
        <f>SUM(D17:F17)</f>
        <v>41.939482007009147</v>
      </c>
      <c r="H17" s="4">
        <v>1.3099410206000499</v>
      </c>
      <c r="I17" s="4">
        <v>9.0242755791093305</v>
      </c>
      <c r="J17" s="4">
        <f>SUM(H17:I17)</f>
        <v>10.33421659970938</v>
      </c>
      <c r="K17" s="4">
        <v>11.9711086417643</v>
      </c>
      <c r="L17" s="4">
        <v>7.2570305154286698</v>
      </c>
      <c r="M17" s="4">
        <v>1.0385503034447401</v>
      </c>
      <c r="N17" s="4">
        <f>SUM(K17:M17)</f>
        <v>20.266689460637711</v>
      </c>
      <c r="O17" s="4">
        <v>1.5150867595521</v>
      </c>
      <c r="P17" s="4">
        <v>6.9899136678348599</v>
      </c>
      <c r="Q17" s="4">
        <f>SUM(O17:P17)</f>
        <v>8.5050004273869604</v>
      </c>
      <c r="R17" s="4">
        <v>3.2695102145482502</v>
      </c>
      <c r="S17" s="4">
        <v>0.38464826053508799</v>
      </c>
      <c r="T17" s="4">
        <f>SUM(R17:S17)</f>
        <v>3.6541584750833382</v>
      </c>
      <c r="U17" s="4">
        <f>C17+G17+J17+N17+Q17+T17</f>
        <v>99.42516454397817</v>
      </c>
      <c r="V17" s="4"/>
      <c r="W17" s="1">
        <v>2.230959911103513</v>
      </c>
      <c r="X17" s="1">
        <v>5.7056158646038124</v>
      </c>
      <c r="Y17" s="1">
        <v>4.6606547568168217</v>
      </c>
      <c r="Z17" s="1">
        <v>17.463031028293017</v>
      </c>
      <c r="AA17" s="1">
        <v>3.3165227797247629</v>
      </c>
      <c r="AB17" s="1">
        <v>66.623215659458069</v>
      </c>
      <c r="AC17" s="2">
        <f>SUM(W17:AB17)</f>
        <v>100</v>
      </c>
      <c r="AD17" s="1">
        <v>2.3506282588255406E-2</v>
      </c>
      <c r="AE17" s="1">
        <v>98.98281904436277</v>
      </c>
      <c r="AF17" s="1">
        <v>0.126079152064279</v>
      </c>
      <c r="AG17" s="1">
        <v>0.8675955209846995</v>
      </c>
      <c r="AH17" s="2">
        <f>SUM(AD17:AG17)</f>
        <v>100</v>
      </c>
      <c r="AI17" s="1">
        <v>29.526027865629541</v>
      </c>
      <c r="AJ17" s="1">
        <v>0.80989828190443625</v>
      </c>
      <c r="AK17" s="1">
        <v>8.5477391230019656E-2</v>
      </c>
      <c r="AL17" s="1">
        <v>69.578596461236003</v>
      </c>
      <c r="AM17" s="2">
        <f>SUM(AI17:AL17)</f>
        <v>100</v>
      </c>
      <c r="AN17" s="1">
        <v>66.623215659458069</v>
      </c>
    </row>
    <row r="18" spans="1:40" x14ac:dyDescent="0.3">
      <c r="A18">
        <v>21016</v>
      </c>
      <c r="B18" t="s">
        <v>25</v>
      </c>
      <c r="C18" s="4">
        <v>0.68296189791516893</v>
      </c>
      <c r="D18" s="4">
        <v>3.8102084831056793</v>
      </c>
      <c r="E18" s="4">
        <v>16.418573180530299</v>
      </c>
      <c r="F18" s="4">
        <v>7.6859643929462509</v>
      </c>
      <c r="G18" s="4">
        <f>SUM(D18:F18)</f>
        <v>27.914746056582228</v>
      </c>
      <c r="H18" s="4">
        <v>2.2920455026007498</v>
      </c>
      <c r="I18" s="4">
        <v>13.0418234871231</v>
      </c>
      <c r="J18" s="4">
        <f>SUM(H18:I18)</f>
        <v>15.33386898972385</v>
      </c>
      <c r="K18" s="4">
        <v>16.976783524337101</v>
      </c>
      <c r="L18" s="4">
        <v>17.3383515879393</v>
      </c>
      <c r="M18" s="4">
        <v>3.6833424958768601</v>
      </c>
      <c r="N18" s="4">
        <f>SUM(K18:M18)</f>
        <v>37.998477608153259</v>
      </c>
      <c r="O18" s="4">
        <v>3.76369095445511</v>
      </c>
      <c r="P18" s="4">
        <v>6.3898168900917698</v>
      </c>
      <c r="Q18" s="4">
        <f>SUM(O18:P18)</f>
        <v>10.15350784454688</v>
      </c>
      <c r="R18" s="4">
        <v>5.9732735653571298</v>
      </c>
      <c r="S18" s="4">
        <v>1.0022412991077101</v>
      </c>
      <c r="T18" s="4">
        <f>SUM(R18:S18)</f>
        <v>6.9755148644648397</v>
      </c>
      <c r="U18" s="4">
        <f>C18+G18+J18+N18+Q18+T18</f>
        <v>99.059077261386236</v>
      </c>
      <c r="V18" s="4"/>
      <c r="W18" s="1">
        <v>1.6619444326975936</v>
      </c>
      <c r="X18" s="1">
        <v>4.4022497568401908</v>
      </c>
      <c r="Y18" s="1">
        <v>4.5206580115870931</v>
      </c>
      <c r="Z18" s="1">
        <v>7.2757643675730534</v>
      </c>
      <c r="AA18" s="1">
        <v>1.3003763690954455</v>
      </c>
      <c r="AB18" s="1">
        <v>80.839007062206619</v>
      </c>
      <c r="AC18" s="2">
        <f>SUM(W18:AB18)</f>
        <v>100</v>
      </c>
      <c r="AD18" s="1">
        <v>1.5963970059627013</v>
      </c>
      <c r="AE18" s="1">
        <v>96.521757516809743</v>
      </c>
      <c r="AF18" s="1">
        <v>0.21990104452996154</v>
      </c>
      <c r="AG18" s="1">
        <v>1.6619444326975936</v>
      </c>
      <c r="AH18" s="2">
        <f>SUM(AD18:AG18)</f>
        <v>100</v>
      </c>
      <c r="AI18" s="1">
        <v>18.530891867890219</v>
      </c>
      <c r="AJ18" s="1">
        <v>6.7365839218505519</v>
      </c>
      <c r="AK18" s="1">
        <v>4.6411806994544769</v>
      </c>
      <c r="AL18" s="1">
        <v>70.091343510804748</v>
      </c>
      <c r="AM18" s="2">
        <f>SUM(AI18:AL18)</f>
        <v>100</v>
      </c>
      <c r="AN18" s="1">
        <v>80.839007062206619</v>
      </c>
    </row>
    <row r="19" spans="1:40" x14ac:dyDescent="0.3">
      <c r="A19">
        <v>21017</v>
      </c>
      <c r="B19" t="s">
        <v>26</v>
      </c>
      <c r="C19" s="4">
        <v>4.7965806553743864</v>
      </c>
      <c r="D19" s="4">
        <v>11.04954883647301</v>
      </c>
      <c r="E19" s="4">
        <v>14.53221465885705</v>
      </c>
      <c r="F19" s="4">
        <v>7.5352224157036574</v>
      </c>
      <c r="G19" s="4">
        <f>SUM(D19:F19)</f>
        <v>33.116985911033716</v>
      </c>
      <c r="H19" s="4">
        <v>2.8652841538705101</v>
      </c>
      <c r="I19" s="4">
        <v>9.08659173658382</v>
      </c>
      <c r="J19" s="4">
        <f>SUM(H19:I19)</f>
        <v>11.95187589045433</v>
      </c>
      <c r="K19" s="4">
        <v>19.867025486781699</v>
      </c>
      <c r="L19" s="4">
        <v>18.157353173975</v>
      </c>
      <c r="M19" s="4">
        <v>3.8784233022004102</v>
      </c>
      <c r="N19" s="4">
        <f>SUM(K19:M19)</f>
        <v>41.902801962957106</v>
      </c>
      <c r="O19" s="4">
        <v>2.18458128858635</v>
      </c>
      <c r="P19" s="4">
        <v>1.8679753047332599</v>
      </c>
      <c r="Q19" s="4">
        <f>SUM(O19:P19)</f>
        <v>4.0525565933196095</v>
      </c>
      <c r="R19" s="4">
        <v>3.30061738166851</v>
      </c>
      <c r="S19" s="4">
        <v>0.60946651891720804</v>
      </c>
      <c r="T19" s="4">
        <f>SUM(R19:S19)</f>
        <v>3.9100839005857182</v>
      </c>
      <c r="U19" s="4">
        <f>C19+G19+J19+N19+Q19+T19</f>
        <v>99.730884913724864</v>
      </c>
      <c r="V19" s="4"/>
      <c r="W19" s="1">
        <v>2.350799430109229</v>
      </c>
      <c r="X19" s="1">
        <v>5.1527623872091182</v>
      </c>
      <c r="Y19" s="1">
        <v>4.5353807186955839</v>
      </c>
      <c r="Z19" s="1">
        <v>9.3398765236662982</v>
      </c>
      <c r="AA19" s="1">
        <v>10.645876207060313</v>
      </c>
      <c r="AB19" s="1">
        <v>67.975304733259463</v>
      </c>
      <c r="AC19" s="2">
        <f>SUM(W19:AB19)</f>
        <v>100</v>
      </c>
      <c r="AD19" s="1">
        <v>0.68861801488048124</v>
      </c>
      <c r="AE19" s="1">
        <v>98.27449738800064</v>
      </c>
      <c r="AF19" s="1">
        <v>2.3745448788982111E-2</v>
      </c>
      <c r="AG19" s="1">
        <v>1.0131391483299035</v>
      </c>
      <c r="AH19" s="2">
        <f>SUM(AD19:AG19)</f>
        <v>100</v>
      </c>
      <c r="AI19" s="1">
        <v>30.172550261199937</v>
      </c>
      <c r="AJ19" s="1">
        <v>13.36868766819693</v>
      </c>
      <c r="AK19" s="1">
        <v>3.5380718695583346</v>
      </c>
      <c r="AL19" s="1">
        <v>52.920690201044792</v>
      </c>
      <c r="AM19" s="2">
        <f>SUM(AI19:AL19)</f>
        <v>100</v>
      </c>
      <c r="AN19" s="1">
        <v>67.975304733259463</v>
      </c>
    </row>
    <row r="20" spans="1:40" x14ac:dyDescent="0.3">
      <c r="A20">
        <v>21018</v>
      </c>
      <c r="B20" t="s">
        <v>27</v>
      </c>
      <c r="C20" s="4">
        <v>0.22824959241144216</v>
      </c>
      <c r="D20" s="4">
        <v>3.9602786423595675</v>
      </c>
      <c r="E20" s="4">
        <v>5.5639543500815174</v>
      </c>
      <c r="F20" s="4">
        <v>8.2584852527049062</v>
      </c>
      <c r="G20" s="4">
        <f>SUM(D20:F20)</f>
        <v>17.782718245145993</v>
      </c>
      <c r="H20" s="4">
        <v>1.8200681784496799</v>
      </c>
      <c r="I20" s="4">
        <v>11.7118719430858</v>
      </c>
      <c r="J20" s="4">
        <f>SUM(H20:I20)</f>
        <v>13.531940121535481</v>
      </c>
      <c r="K20" s="4">
        <v>18.268860234178199</v>
      </c>
      <c r="L20" s="4">
        <v>15.073365940418</v>
      </c>
      <c r="M20" s="4">
        <v>5.8811323551208003</v>
      </c>
      <c r="N20" s="4">
        <f>SUM(K20:M20)</f>
        <v>39.223358529716997</v>
      </c>
      <c r="O20" s="4">
        <v>6.0352749370090404</v>
      </c>
      <c r="P20" s="4">
        <v>14.495331258337</v>
      </c>
      <c r="Q20" s="4">
        <f>SUM(O20:P20)</f>
        <v>20.530606195346039</v>
      </c>
      <c r="R20" s="4">
        <v>6.2902030532088302</v>
      </c>
      <c r="S20" s="4">
        <v>1.5888543056173099</v>
      </c>
      <c r="T20" s="4">
        <f>SUM(R20:S20)</f>
        <v>7.8790573588261399</v>
      </c>
      <c r="U20" s="4">
        <f>C20+G20+J20+N20+Q20+T20</f>
        <v>99.175930042982102</v>
      </c>
      <c r="V20" s="4"/>
      <c r="W20" s="1">
        <v>1.6688898769823626</v>
      </c>
      <c r="X20" s="1">
        <v>2.1935675114865867</v>
      </c>
      <c r="Y20" s="1">
        <v>2.9494590188231804</v>
      </c>
      <c r="Z20" s="1">
        <v>6.1093819475322366</v>
      </c>
      <c r="AA20" s="1">
        <v>0.67289165555061514</v>
      </c>
      <c r="AB20" s="1">
        <v>86.405809989625013</v>
      </c>
      <c r="AC20" s="2">
        <f>SUM(W20:AB20)</f>
        <v>100</v>
      </c>
      <c r="AD20" s="1">
        <v>5.895953757225433</v>
      </c>
      <c r="AE20" s="1">
        <v>93.146583666814891</v>
      </c>
      <c r="AF20" s="1">
        <v>7.7071290944123322E-2</v>
      </c>
      <c r="AG20" s="1">
        <v>0.88039128501556252</v>
      </c>
      <c r="AH20" s="2">
        <f>SUM(AD20:AG20)</f>
        <v>100</v>
      </c>
      <c r="AI20" s="1">
        <v>16.742255817400327</v>
      </c>
      <c r="AJ20" s="1">
        <v>4.0669927375129689</v>
      </c>
      <c r="AK20" s="1">
        <v>0.52171335408329633</v>
      </c>
      <c r="AL20" s="1">
        <v>78.669038091003401</v>
      </c>
      <c r="AM20" s="2">
        <f>SUM(AI20:AL20)</f>
        <v>100</v>
      </c>
      <c r="AN20" s="1">
        <v>86.405809989625013</v>
      </c>
    </row>
    <row r="21" spans="1:40" x14ac:dyDescent="0.3">
      <c r="A21">
        <v>21019</v>
      </c>
      <c r="B21" t="s">
        <v>28</v>
      </c>
      <c r="C21" s="4">
        <v>0.6173404060728005</v>
      </c>
      <c r="D21" s="4">
        <v>4.2756539235412481</v>
      </c>
      <c r="E21" s="4">
        <v>6.8319004938723253</v>
      </c>
      <c r="F21" s="4">
        <v>6.1688311688311686</v>
      </c>
      <c r="G21" s="4">
        <f>SUM(D21:F21)</f>
        <v>17.276385586244743</v>
      </c>
      <c r="H21" s="4">
        <v>4.2253521126760596</v>
      </c>
      <c r="I21" s="4">
        <v>18.707700749954299</v>
      </c>
      <c r="J21" s="4">
        <f>SUM(H21:I21)</f>
        <v>22.933052862630358</v>
      </c>
      <c r="K21" s="4">
        <v>23.495518565941101</v>
      </c>
      <c r="L21" s="4">
        <v>12.067861715749</v>
      </c>
      <c r="M21" s="4">
        <v>4.6186208158039097</v>
      </c>
      <c r="N21" s="4">
        <f>SUM(K21:M21)</f>
        <v>40.182001097494009</v>
      </c>
      <c r="O21" s="4">
        <v>6.9325041156027103</v>
      </c>
      <c r="P21" s="4">
        <v>7.8562282787634903</v>
      </c>
      <c r="Q21" s="4">
        <f>SUM(O21:P21)</f>
        <v>14.7887323943662</v>
      </c>
      <c r="R21" s="4">
        <v>3.7543442473019901</v>
      </c>
      <c r="S21" s="4">
        <v>0.28351929760380501</v>
      </c>
      <c r="T21" s="4">
        <f>SUM(R21:S21)</f>
        <v>4.0378635449057949</v>
      </c>
      <c r="U21" s="4">
        <f>C21+G21+J21+N21+Q21+T21</f>
        <v>99.835375891713895</v>
      </c>
      <c r="V21" s="4"/>
      <c r="W21" s="1">
        <v>2.469361624291202</v>
      </c>
      <c r="X21" s="1">
        <v>3.6491677336747763</v>
      </c>
      <c r="Y21" s="1">
        <v>4.3305286263032743</v>
      </c>
      <c r="Z21" s="1">
        <v>6.7678800073166272</v>
      </c>
      <c r="AA21" s="1">
        <v>1.2301079202487653</v>
      </c>
      <c r="AB21" s="1">
        <v>81.55295408816535</v>
      </c>
      <c r="AC21" s="2">
        <f>SUM(W21:AB21)</f>
        <v>100</v>
      </c>
      <c r="AD21" s="1">
        <v>8.8165355770989571</v>
      </c>
      <c r="AE21" s="1">
        <v>90.232302908359244</v>
      </c>
      <c r="AF21" s="1">
        <v>0.29266508139747577</v>
      </c>
      <c r="AG21" s="1">
        <v>0.65849643314432049</v>
      </c>
      <c r="AH21" s="2">
        <f>SUM(AD21:AG21)</f>
        <v>100</v>
      </c>
      <c r="AI21" s="1">
        <v>18.986647155661242</v>
      </c>
      <c r="AJ21" s="1">
        <v>11.990122553502836</v>
      </c>
      <c r="AK21" s="1">
        <v>6.5575269800621907</v>
      </c>
      <c r="AL21" s="1">
        <v>62.465703310773733</v>
      </c>
      <c r="AM21" s="2">
        <f>SUM(AI21:AL21)</f>
        <v>100</v>
      </c>
      <c r="AN21" s="1">
        <v>81.55295408816535</v>
      </c>
    </row>
  </sheetData>
  <mergeCells count="2">
    <mergeCell ref="C1:T1"/>
    <mergeCell ref="W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Pieter-Jan Devos</dc:creator>
  <cp:lastModifiedBy>Pieter-Jan Devos</cp:lastModifiedBy>
  <dcterms:created xsi:type="dcterms:W3CDTF">2026-04-28T13:31:13Z</dcterms:created>
  <dcterms:modified xsi:type="dcterms:W3CDTF">2026-04-28T13:59:09Z</dcterms:modified>
</cp:coreProperties>
</file>