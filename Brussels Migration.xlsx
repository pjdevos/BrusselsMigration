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ursist\Desktop\FARI\Datasets\"/>
    </mc:Choice>
  </mc:AlternateContent>
  <xr:revisionPtr revIDLastSave="0" documentId="13_ncr:1_{1A580220-F910-431E-8BD2-3DD91B300D54}" xr6:coauthVersionLast="47" xr6:coauthVersionMax="47" xr10:uidLastSave="{00000000-0000-0000-0000-000000000000}"/>
  <bookViews>
    <workbookView xWindow="-108" yWindow="-108" windowWidth="23256" windowHeight="12456" xr2:uid="{83EA4CAF-60D3-4BD7-92E8-4CB5AE2A74CC}"/>
  </bookViews>
  <sheets>
    <sheet name="2000-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Y24" i="1" l="1"/>
  <c r="EA24" i="1"/>
  <c r="CC24" i="1"/>
  <c r="AE24" i="1"/>
  <c r="FY23" i="1"/>
  <c r="EA23" i="1"/>
  <c r="CC23" i="1"/>
  <c r="AE23" i="1"/>
  <c r="FY22" i="1"/>
  <c r="EA22" i="1"/>
  <c r="CC22" i="1"/>
  <c r="AE22" i="1"/>
  <c r="FY21" i="1"/>
  <c r="EA21" i="1"/>
  <c r="CC21" i="1"/>
  <c r="AE21" i="1"/>
  <c r="FY20" i="1"/>
  <c r="EA20" i="1"/>
  <c r="CC20" i="1"/>
  <c r="AE20" i="1"/>
  <c r="FY19" i="1"/>
  <c r="EA19" i="1"/>
  <c r="CC19" i="1"/>
  <c r="AE19" i="1"/>
  <c r="FY18" i="1"/>
  <c r="EA18" i="1"/>
  <c r="CC18" i="1"/>
  <c r="AE18" i="1"/>
  <c r="FY17" i="1"/>
  <c r="EA17" i="1"/>
  <c r="CC17" i="1"/>
  <c r="AE17" i="1"/>
  <c r="FY16" i="1"/>
  <c r="EA16" i="1"/>
  <c r="CC16" i="1"/>
  <c r="AE16" i="1"/>
  <c r="FY15" i="1"/>
  <c r="EA15" i="1"/>
  <c r="CC15" i="1"/>
  <c r="AE15" i="1"/>
  <c r="FY14" i="1"/>
  <c r="EA14" i="1"/>
  <c r="CC14" i="1"/>
  <c r="AE14" i="1"/>
  <c r="FY13" i="1"/>
  <c r="EA13" i="1"/>
  <c r="CC13" i="1"/>
  <c r="AE13" i="1"/>
  <c r="FY12" i="1"/>
  <c r="EA12" i="1"/>
  <c r="CC12" i="1"/>
  <c r="AE12" i="1"/>
  <c r="FY11" i="1"/>
  <c r="EA11" i="1"/>
  <c r="CC11" i="1"/>
  <c r="AE11" i="1"/>
  <c r="FY10" i="1"/>
  <c r="EA10" i="1"/>
  <c r="CC10" i="1"/>
  <c r="AE10" i="1"/>
  <c r="FY9" i="1"/>
  <c r="EA9" i="1"/>
  <c r="CC9" i="1"/>
  <c r="AE9" i="1"/>
  <c r="FY8" i="1"/>
  <c r="EA8" i="1"/>
  <c r="CC8" i="1"/>
  <c r="AE8" i="1"/>
  <c r="FY7" i="1"/>
  <c r="EA7" i="1"/>
  <c r="CC7" i="1"/>
  <c r="AE7" i="1"/>
  <c r="FY6" i="1"/>
  <c r="EA6" i="1"/>
  <c r="CC6" i="1"/>
  <c r="AE6" i="1"/>
  <c r="FY5" i="1"/>
  <c r="EA5" i="1"/>
  <c r="CC5" i="1"/>
  <c r="AE5" i="1"/>
</calcChain>
</file>

<file path=xl/sharedStrings.xml><?xml version="1.0" encoding="utf-8"?>
<sst xmlns="http://schemas.openxmlformats.org/spreadsheetml/2006/main" count="73" uniqueCount="63">
  <si>
    <t>TOTAL POPULATION</t>
  </si>
  <si>
    <t>INTERNAL MIGRATION</t>
  </si>
  <si>
    <t>INTERNATIONAL MIGRATION</t>
  </si>
  <si>
    <t>IN</t>
  </si>
  <si>
    <t>OUT</t>
  </si>
  <si>
    <t>BALANCE</t>
  </si>
  <si>
    <t>04000</t>
  </si>
  <si>
    <t>21001</t>
  </si>
  <si>
    <t>Anderlecht</t>
  </si>
  <si>
    <t>21002</t>
  </si>
  <si>
    <t>Oudergem</t>
  </si>
  <si>
    <t>21003</t>
  </si>
  <si>
    <t>Sint-Agatha-Berchem</t>
  </si>
  <si>
    <t>21004</t>
  </si>
  <si>
    <t>Brussel</t>
  </si>
  <si>
    <t>21005</t>
  </si>
  <si>
    <t>Etterbeek</t>
  </si>
  <si>
    <t>21006</t>
  </si>
  <si>
    <t>Evere</t>
  </si>
  <si>
    <t>21007</t>
  </si>
  <si>
    <t>Vorst</t>
  </si>
  <si>
    <t>21008</t>
  </si>
  <si>
    <t>Ganshoren</t>
  </si>
  <si>
    <t>21009</t>
  </si>
  <si>
    <t>Elsene</t>
  </si>
  <si>
    <t>21010</t>
  </si>
  <si>
    <t>Jette</t>
  </si>
  <si>
    <t>21011</t>
  </si>
  <si>
    <t>Koekelberg</t>
  </si>
  <si>
    <t>21012</t>
  </si>
  <si>
    <t>Sint-Jans-Molenbeek</t>
  </si>
  <si>
    <t>21013</t>
  </si>
  <si>
    <t>Sint-Gillis</t>
  </si>
  <si>
    <t>21014</t>
  </si>
  <si>
    <t>Sint-Joost-ten-Node</t>
  </si>
  <si>
    <t>21015</t>
  </si>
  <si>
    <t>Schaarbeek</t>
  </si>
  <si>
    <t>21016</t>
  </si>
  <si>
    <t>Ukkel</t>
  </si>
  <si>
    <t>21017</t>
  </si>
  <si>
    <t>Watermaal-Bosvoorde</t>
  </si>
  <si>
    <t>21018</t>
  </si>
  <si>
    <t>Sint-Lambrechts-Woluwe</t>
  </si>
  <si>
    <t>21019</t>
  </si>
  <si>
    <t>Sint-Pieters-Woluwe</t>
  </si>
  <si>
    <t>Bron: Statbel (Algemene Directie Statistiek – Statistics Belgium )</t>
  </si>
  <si>
    <t>Source: Statbel (Direction générale Statistique – Statistics Belgium )</t>
  </si>
  <si>
    <t>Source: Statbel (Directorate-general Statistics – Statistics Belgium )</t>
  </si>
  <si>
    <t>Brussels Migration</t>
  </si>
  <si>
    <t>Brussels Region</t>
  </si>
  <si>
    <t>Audergem</t>
  </si>
  <si>
    <t>Berchem-Sainte-Agathe</t>
  </si>
  <si>
    <t>Bruxelles</t>
  </si>
  <si>
    <t>Forest</t>
  </si>
  <si>
    <t>Ixelles</t>
  </si>
  <si>
    <t>Molenbeek-Saint-Jean</t>
  </si>
  <si>
    <t>Saint-Gilles</t>
  </si>
  <si>
    <t>Saint-Josse-ten-Noode</t>
  </si>
  <si>
    <t>Uccle</t>
  </si>
  <si>
    <t>Schaerbeek</t>
  </si>
  <si>
    <t>Watermael-Boitsfort</t>
  </si>
  <si>
    <t>Woluwe-Saint-Lambert</t>
  </si>
  <si>
    <t>Woluwe-Saint-Pierre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</si>
</sst>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3" borderId="4" xfId="0" applyFill="1" applyBorder="1"/>
    <xf numFmtId="10" fontId="0" fillId="3" borderId="0" xfId="0" applyNumberFormat="1" applyFill="1"/>
    <xf numFmtId="0" fontId="0" fillId="3" borderId="0" xfId="0" applyFill="1"/>
    <xf numFmtId="10" fontId="0" fillId="3" borderId="7" xfId="0" applyNumberFormat="1" applyFill="1" applyBorder="1"/>
    <xf numFmtId="0" fontId="0" fillId="4" borderId="0" xfId="0" applyFill="1"/>
    <xf numFmtId="10" fontId="0" fillId="4" borderId="0" xfId="0" applyNumberFormat="1" applyFill="1"/>
    <xf numFmtId="10" fontId="0" fillId="4" borderId="7" xfId="0" applyNumberFormat="1" applyFill="1" applyBorder="1"/>
    <xf numFmtId="0" fontId="0" fillId="2" borderId="9" xfId="0" applyFill="1" applyBorder="1"/>
    <xf numFmtId="0" fontId="0" fillId="3" borderId="8" xfId="0" applyFill="1" applyBorder="1"/>
    <xf numFmtId="10" fontId="0" fillId="3" borderId="9" xfId="0" applyNumberFormat="1" applyFill="1" applyBorder="1"/>
    <xf numFmtId="0" fontId="0" fillId="3" borderId="9" xfId="0" applyFill="1" applyBorder="1"/>
    <xf numFmtId="10" fontId="0" fillId="3" borderId="10" xfId="0" applyNumberFormat="1" applyFill="1" applyBorder="1"/>
    <xf numFmtId="0" fontId="0" fillId="4" borderId="9" xfId="0" applyFill="1" applyBorder="1"/>
    <xf numFmtId="10" fontId="0" fillId="4" borderId="9" xfId="0" applyNumberFormat="1" applyFill="1" applyBorder="1"/>
    <xf numFmtId="10" fontId="0" fillId="4" borderId="10" xfId="0" applyNumberFormat="1" applyFill="1" applyBorder="1"/>
    <xf numFmtId="1" fontId="0" fillId="2" borderId="0" xfId="0" applyNumberFormat="1" applyFill="1"/>
    <xf numFmtId="164" fontId="0" fillId="0" borderId="0" xfId="0" applyNumberFormat="1"/>
    <xf numFmtId="0" fontId="0" fillId="5" borderId="0" xfId="0" applyFill="1"/>
    <xf numFmtId="0" fontId="0" fillId="6" borderId="0" xfId="0" applyFill="1"/>
    <xf numFmtId="1" fontId="0" fillId="6" borderId="0" xfId="0" applyNumberFormat="1" applyFill="1"/>
    <xf numFmtId="1" fontId="0" fillId="0" borderId="0" xfId="0" applyNumberFormat="1"/>
    <xf numFmtId="0" fontId="0" fillId="2" borderId="0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  <xf numFmtId="0" fontId="1" fillId="0" borderId="0" xfId="0" applyFont="1" applyAlignment="1">
      <alignment horizontal="right"/>
    </xf>
    <xf numFmtId="1" fontId="1" fillId="2" borderId="6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/>
    </xf>
    <xf numFmtId="1" fontId="1" fillId="2" borderId="5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1" fontId="1" fillId="3" borderId="4" xfId="0" applyNumberFormat="1" applyFont="1" applyFill="1" applyBorder="1" applyAlignment="1">
      <alignment horizontal="right"/>
    </xf>
    <xf numFmtId="1" fontId="1" fillId="3" borderId="0" xfId="0" applyNumberFormat="1" applyFont="1" applyFill="1" applyAlignment="1">
      <alignment horizontal="right"/>
    </xf>
    <xf numFmtId="1" fontId="1" fillId="3" borderId="7" xfId="0" applyNumberFormat="1" applyFont="1" applyFill="1" applyBorder="1" applyAlignment="1">
      <alignment horizontal="right"/>
    </xf>
    <xf numFmtId="1" fontId="1" fillId="4" borderId="0" xfId="0" applyNumberFormat="1" applyFont="1" applyFill="1" applyAlignment="1">
      <alignment horizontal="right"/>
    </xf>
    <xf numFmtId="1" fontId="1" fillId="4" borderId="7" xfId="0" applyNumberFormat="1" applyFont="1" applyFill="1" applyBorder="1" applyAlignment="1">
      <alignment horizontal="right"/>
    </xf>
    <xf numFmtId="0" fontId="1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49" fontId="2" fillId="0" borderId="0" xfId="0" applyNumberFormat="1" applyFont="1" applyAlignment="1">
      <alignment shrinkToFit="1"/>
    </xf>
    <xf numFmtId="49" fontId="2" fillId="2" borderId="12" xfId="0" applyNumberFormat="1" applyFont="1" applyFill="1" applyBorder="1" applyAlignment="1">
      <alignment horizontal="center" shrinkToFit="1"/>
    </xf>
    <xf numFmtId="49" fontId="2" fillId="2" borderId="13" xfId="0" applyNumberFormat="1" applyFont="1" applyFill="1" applyBorder="1" applyAlignment="1">
      <alignment horizontal="center" shrinkToFit="1"/>
    </xf>
    <xf numFmtId="49" fontId="2" fillId="2" borderId="14" xfId="0" applyNumberFormat="1" applyFont="1" applyFill="1" applyBorder="1" applyAlignment="1">
      <alignment horizontal="center" shrinkToFit="1"/>
    </xf>
    <xf numFmtId="49" fontId="2" fillId="2" borderId="2" xfId="0" applyNumberFormat="1" applyFont="1" applyFill="1" applyBorder="1" applyAlignment="1">
      <alignment horizontal="center" shrinkToFit="1"/>
    </xf>
    <xf numFmtId="49" fontId="2" fillId="0" borderId="11" xfId="0" applyNumberFormat="1" applyFont="1" applyBorder="1" applyAlignment="1">
      <alignment horizontal="center" shrinkToFit="1"/>
    </xf>
    <xf numFmtId="49" fontId="2" fillId="7" borderId="11" xfId="0" applyNumberFormat="1" applyFont="1" applyFill="1" applyBorder="1" applyAlignment="1">
      <alignment horizontal="center" shrinkToFit="1"/>
    </xf>
    <xf numFmtId="0" fontId="1" fillId="7" borderId="11" xfId="0" applyFont="1" applyFill="1" applyBorder="1" applyAlignment="1">
      <alignment horizontal="center"/>
    </xf>
    <xf numFmtId="1" fontId="1" fillId="7" borderId="0" xfId="0" applyNumberFormat="1" applyFont="1" applyFill="1" applyAlignment="1">
      <alignment horizontal="right"/>
    </xf>
    <xf numFmtId="1" fontId="1" fillId="7" borderId="7" xfId="0" applyNumberFormat="1" applyFont="1" applyFill="1" applyBorder="1" applyAlignment="1">
      <alignment horizontal="right"/>
    </xf>
    <xf numFmtId="0" fontId="0" fillId="7" borderId="0" xfId="0" applyFill="1"/>
    <xf numFmtId="10" fontId="0" fillId="7" borderId="0" xfId="0" applyNumberFormat="1" applyFill="1"/>
    <xf numFmtId="10" fontId="0" fillId="7" borderId="7" xfId="0" applyNumberFormat="1" applyFill="1" applyBorder="1"/>
    <xf numFmtId="0" fontId="0" fillId="7" borderId="9" xfId="0" applyFill="1" applyBorder="1"/>
    <xf numFmtId="10" fontId="0" fillId="7" borderId="9" xfId="0" applyNumberFormat="1" applyFill="1" applyBorder="1"/>
    <xf numFmtId="10" fontId="0" fillId="7" borderId="10" xfId="0" applyNumberFormat="1" applyFill="1" applyBorder="1"/>
    <xf numFmtId="0" fontId="1" fillId="8" borderId="11" xfId="0" applyFont="1" applyFill="1" applyBorder="1" applyAlignment="1">
      <alignment horizontal="center"/>
    </xf>
    <xf numFmtId="1" fontId="1" fillId="8" borderId="0" xfId="0" applyNumberFormat="1" applyFont="1" applyFill="1" applyAlignment="1">
      <alignment horizontal="right"/>
    </xf>
    <xf numFmtId="1" fontId="1" fillId="8" borderId="7" xfId="0" applyNumberFormat="1" applyFont="1" applyFill="1" applyBorder="1" applyAlignment="1">
      <alignment horizontal="right"/>
    </xf>
    <xf numFmtId="0" fontId="0" fillId="8" borderId="0" xfId="0" applyFill="1"/>
    <xf numFmtId="10" fontId="0" fillId="8" borderId="0" xfId="0" applyNumberFormat="1" applyFill="1"/>
    <xf numFmtId="10" fontId="0" fillId="8" borderId="7" xfId="0" applyNumberFormat="1" applyFill="1" applyBorder="1"/>
    <xf numFmtId="0" fontId="0" fillId="8" borderId="9" xfId="0" applyFill="1" applyBorder="1"/>
    <xf numFmtId="10" fontId="0" fillId="8" borderId="9" xfId="0" applyNumberFormat="1" applyFill="1" applyBorder="1"/>
    <xf numFmtId="10" fontId="0" fillId="8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D5DD-28AB-4669-8234-E7AF6A17DD7C}">
  <dimension ref="A1:HU28"/>
  <sheetViews>
    <sheetView tabSelected="1" workbookViewId="0">
      <selection activeCell="CB2" sqref="CB2:DY2"/>
    </sheetView>
  </sheetViews>
  <sheetFormatPr defaultColWidth="9.109375" defaultRowHeight="14.4" x14ac:dyDescent="0.3"/>
  <cols>
    <col min="1" max="1" width="7.88671875" customWidth="1"/>
    <col min="2" max="2" width="21.88671875" bestFit="1" customWidth="1"/>
    <col min="3" max="3" width="32.109375" customWidth="1"/>
    <col min="4" max="6" width="13.88671875" customWidth="1"/>
    <col min="7" max="10" width="13.88671875" style="21" customWidth="1"/>
    <col min="11" max="12" width="13.88671875" style="22" customWidth="1"/>
    <col min="13" max="13" width="13.88671875" style="23" customWidth="1"/>
    <col min="14" max="14" width="13.88671875" style="22" customWidth="1"/>
    <col min="15" max="16" width="13.88671875" customWidth="1"/>
    <col min="17" max="17" width="13.88671875" style="24" customWidth="1"/>
    <col min="18" max="20" width="13.88671875" customWidth="1"/>
    <col min="21" max="21" width="13.88671875" style="24" customWidth="1"/>
    <col min="22" max="28" width="13.88671875" customWidth="1"/>
    <col min="29" max="29" width="1.88671875" customWidth="1"/>
    <col min="30" max="32" width="10.21875" customWidth="1"/>
    <col min="33" max="33" width="10.21875" style="20" customWidth="1"/>
    <col min="34" max="229" width="10.21875" customWidth="1"/>
  </cols>
  <sheetData>
    <row r="1" spans="1:229" ht="15.6" customHeight="1" x14ac:dyDescent="0.3">
      <c r="A1" s="32" t="s">
        <v>48</v>
      </c>
      <c r="B1" s="32"/>
      <c r="C1" s="32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2"/>
      <c r="AE1" s="32"/>
      <c r="AF1" s="32"/>
      <c r="AG1" s="34"/>
      <c r="DZ1" s="29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1"/>
    </row>
    <row r="2" spans="1:229" s="53" customFormat="1" ht="15.6" x14ac:dyDescent="0.3">
      <c r="D2" s="54" t="s">
        <v>0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6"/>
      <c r="AC2" s="57"/>
      <c r="AD2" s="58" t="s">
        <v>1</v>
      </c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 t="s">
        <v>1</v>
      </c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 t="s">
        <v>1</v>
      </c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9" t="s">
        <v>2</v>
      </c>
      <c r="FY2" s="59"/>
      <c r="FZ2" s="59"/>
      <c r="GA2" s="59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59"/>
      <c r="GN2" s="59"/>
      <c r="GO2" s="59"/>
      <c r="GP2" s="59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/>
      <c r="HJ2" s="59"/>
      <c r="HK2" s="59"/>
      <c r="HL2" s="59"/>
      <c r="HM2" s="59"/>
      <c r="HN2" s="59"/>
      <c r="HO2" s="59"/>
      <c r="HP2" s="59"/>
      <c r="HQ2" s="59"/>
      <c r="HR2" s="59"/>
      <c r="HS2" s="59"/>
      <c r="HT2" s="59"/>
      <c r="HU2" s="59"/>
    </row>
    <row r="3" spans="1:229" s="45" customFormat="1" x14ac:dyDescent="0.3">
      <c r="D3" s="46"/>
      <c r="E3" s="47"/>
      <c r="F3" s="47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7"/>
      <c r="X3" s="47"/>
      <c r="Y3" s="47"/>
      <c r="Z3" s="47"/>
      <c r="AA3" s="47"/>
      <c r="AB3" s="49"/>
      <c r="AC3" s="50"/>
      <c r="AD3" s="51" t="s">
        <v>3</v>
      </c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2" t="s">
        <v>4</v>
      </c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69" t="s">
        <v>5</v>
      </c>
      <c r="EA3" s="69"/>
      <c r="EB3" s="69"/>
      <c r="EC3" s="69"/>
      <c r="ED3" s="69"/>
      <c r="EE3" s="69"/>
      <c r="EF3" s="69"/>
      <c r="EG3" s="69"/>
      <c r="EH3" s="69"/>
      <c r="EI3" s="69"/>
      <c r="EJ3" s="69"/>
      <c r="EK3" s="69"/>
      <c r="EL3" s="69"/>
      <c r="EM3" s="69"/>
      <c r="EN3" s="69"/>
      <c r="EO3" s="69"/>
      <c r="EP3" s="69"/>
      <c r="EQ3" s="69"/>
      <c r="ER3" s="69"/>
      <c r="ES3" s="69"/>
      <c r="ET3" s="69"/>
      <c r="EU3" s="69"/>
      <c r="EV3" s="69"/>
      <c r="EW3" s="69"/>
      <c r="EX3" s="69"/>
      <c r="EY3" s="69"/>
      <c r="EZ3" s="69"/>
      <c r="FA3" s="69"/>
      <c r="FB3" s="69"/>
      <c r="FC3" s="69"/>
      <c r="FD3" s="69"/>
      <c r="FE3" s="69"/>
      <c r="FF3" s="69"/>
      <c r="FG3" s="69"/>
      <c r="FH3" s="69"/>
      <c r="FI3" s="69"/>
      <c r="FJ3" s="69"/>
      <c r="FK3" s="69"/>
      <c r="FL3" s="69"/>
      <c r="FM3" s="69"/>
      <c r="FN3" s="69"/>
      <c r="FO3" s="69"/>
      <c r="FP3" s="69"/>
      <c r="FQ3" s="69"/>
      <c r="FR3" s="69"/>
      <c r="FS3" s="69"/>
      <c r="FT3" s="69"/>
      <c r="FU3" s="69"/>
      <c r="FV3" s="69"/>
      <c r="FW3" s="69"/>
      <c r="FX3" s="60" t="s">
        <v>5</v>
      </c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</row>
    <row r="4" spans="1:229" s="35" customFormat="1" x14ac:dyDescent="0.3">
      <c r="D4" s="36">
        <v>2024</v>
      </c>
      <c r="E4" s="37">
        <v>2023</v>
      </c>
      <c r="F4" s="37">
        <v>2022</v>
      </c>
      <c r="G4" s="37">
        <v>2021</v>
      </c>
      <c r="H4" s="37">
        <v>2020</v>
      </c>
      <c r="I4" s="37">
        <v>2019</v>
      </c>
      <c r="J4" s="37">
        <v>2018</v>
      </c>
      <c r="K4" s="37">
        <v>2017</v>
      </c>
      <c r="L4" s="37">
        <v>2016</v>
      </c>
      <c r="M4" s="37">
        <v>2015</v>
      </c>
      <c r="N4" s="37">
        <v>2014</v>
      </c>
      <c r="O4" s="37">
        <v>2013</v>
      </c>
      <c r="P4" s="37">
        <v>2012</v>
      </c>
      <c r="Q4" s="37">
        <v>2011</v>
      </c>
      <c r="R4" s="37">
        <v>2010</v>
      </c>
      <c r="S4" s="37">
        <v>2009</v>
      </c>
      <c r="T4" s="37">
        <v>2008</v>
      </c>
      <c r="U4" s="37">
        <v>2007</v>
      </c>
      <c r="V4" s="37">
        <v>2006</v>
      </c>
      <c r="W4" s="37">
        <v>2005</v>
      </c>
      <c r="X4" s="37">
        <v>2004</v>
      </c>
      <c r="Y4" s="37">
        <v>2003</v>
      </c>
      <c r="Z4" s="37">
        <v>2002</v>
      </c>
      <c r="AA4" s="37">
        <v>2001</v>
      </c>
      <c r="AB4" s="38">
        <v>2000</v>
      </c>
      <c r="AC4" s="39"/>
      <c r="AD4" s="40">
        <v>2024</v>
      </c>
      <c r="AE4" s="41">
        <v>2024</v>
      </c>
      <c r="AF4" s="41">
        <v>2023</v>
      </c>
      <c r="AG4" s="41">
        <v>2023</v>
      </c>
      <c r="AH4" s="41">
        <v>2022</v>
      </c>
      <c r="AI4" s="41">
        <v>2022</v>
      </c>
      <c r="AJ4" s="41">
        <v>2021</v>
      </c>
      <c r="AK4" s="41">
        <v>2021</v>
      </c>
      <c r="AL4" s="41">
        <v>2020</v>
      </c>
      <c r="AM4" s="41">
        <v>2020</v>
      </c>
      <c r="AN4" s="41">
        <v>2019</v>
      </c>
      <c r="AO4" s="41">
        <v>2019</v>
      </c>
      <c r="AP4" s="41">
        <v>2018</v>
      </c>
      <c r="AQ4" s="41">
        <v>2018</v>
      </c>
      <c r="AR4" s="41">
        <v>2017</v>
      </c>
      <c r="AS4" s="41">
        <v>2017</v>
      </c>
      <c r="AT4" s="41">
        <v>2016</v>
      </c>
      <c r="AU4" s="41">
        <v>2016</v>
      </c>
      <c r="AV4" s="41">
        <v>2015</v>
      </c>
      <c r="AW4" s="41">
        <v>2015</v>
      </c>
      <c r="AX4" s="41">
        <v>2014</v>
      </c>
      <c r="AY4" s="41">
        <v>2014</v>
      </c>
      <c r="AZ4" s="41">
        <v>2013</v>
      </c>
      <c r="BA4" s="41">
        <v>2013</v>
      </c>
      <c r="BB4" s="41">
        <v>2012</v>
      </c>
      <c r="BC4" s="41">
        <v>2012</v>
      </c>
      <c r="BD4" s="41">
        <v>2011</v>
      </c>
      <c r="BE4" s="41">
        <v>2011</v>
      </c>
      <c r="BF4" s="41">
        <v>2010</v>
      </c>
      <c r="BG4" s="41">
        <v>2010</v>
      </c>
      <c r="BH4" s="41">
        <v>2009</v>
      </c>
      <c r="BI4" s="41">
        <v>2009</v>
      </c>
      <c r="BJ4" s="41">
        <v>2008</v>
      </c>
      <c r="BK4" s="41">
        <v>2008</v>
      </c>
      <c r="BL4" s="41">
        <v>2007</v>
      </c>
      <c r="BM4" s="41">
        <v>2007</v>
      </c>
      <c r="BN4" s="41">
        <v>2006</v>
      </c>
      <c r="BO4" s="41">
        <v>2006</v>
      </c>
      <c r="BP4" s="41">
        <v>2005</v>
      </c>
      <c r="BQ4" s="41">
        <v>2005</v>
      </c>
      <c r="BR4" s="41">
        <v>2004</v>
      </c>
      <c r="BS4" s="41">
        <v>2004</v>
      </c>
      <c r="BT4" s="41">
        <v>2003</v>
      </c>
      <c r="BU4" s="41">
        <v>2003</v>
      </c>
      <c r="BV4" s="41">
        <v>2002</v>
      </c>
      <c r="BW4" s="41">
        <v>2002</v>
      </c>
      <c r="BX4" s="41">
        <v>2001</v>
      </c>
      <c r="BY4" s="41">
        <v>2001</v>
      </c>
      <c r="BZ4" s="41">
        <v>2000</v>
      </c>
      <c r="CA4" s="42">
        <v>2000</v>
      </c>
      <c r="CB4" s="43">
        <v>2024</v>
      </c>
      <c r="CC4" s="43">
        <v>2024</v>
      </c>
      <c r="CD4" s="43">
        <v>2023</v>
      </c>
      <c r="CE4" s="43">
        <v>2023</v>
      </c>
      <c r="CF4" s="43">
        <v>2022</v>
      </c>
      <c r="CG4" s="43">
        <v>2022</v>
      </c>
      <c r="CH4" s="43">
        <v>2021</v>
      </c>
      <c r="CI4" s="43">
        <v>2021</v>
      </c>
      <c r="CJ4" s="43">
        <v>2020</v>
      </c>
      <c r="CK4" s="43">
        <v>2020</v>
      </c>
      <c r="CL4" s="43">
        <v>2019</v>
      </c>
      <c r="CM4" s="43">
        <v>2019</v>
      </c>
      <c r="CN4" s="43">
        <v>2018</v>
      </c>
      <c r="CO4" s="43">
        <v>2018</v>
      </c>
      <c r="CP4" s="43">
        <v>2017</v>
      </c>
      <c r="CQ4" s="43">
        <v>2017</v>
      </c>
      <c r="CR4" s="43">
        <v>2016</v>
      </c>
      <c r="CS4" s="43">
        <v>2016</v>
      </c>
      <c r="CT4" s="43">
        <v>2015</v>
      </c>
      <c r="CU4" s="43">
        <v>2015</v>
      </c>
      <c r="CV4" s="43">
        <v>2014</v>
      </c>
      <c r="CW4" s="43">
        <v>2014</v>
      </c>
      <c r="CX4" s="43">
        <v>2013</v>
      </c>
      <c r="CY4" s="43">
        <v>2013</v>
      </c>
      <c r="CZ4" s="43">
        <v>2012</v>
      </c>
      <c r="DA4" s="43">
        <v>2012</v>
      </c>
      <c r="DB4" s="43">
        <v>2011</v>
      </c>
      <c r="DC4" s="43">
        <v>2011</v>
      </c>
      <c r="DD4" s="43">
        <v>2010</v>
      </c>
      <c r="DE4" s="43">
        <v>2010</v>
      </c>
      <c r="DF4" s="43">
        <v>2009</v>
      </c>
      <c r="DG4" s="43">
        <v>2009</v>
      </c>
      <c r="DH4" s="43">
        <v>2008</v>
      </c>
      <c r="DI4" s="43">
        <v>2008</v>
      </c>
      <c r="DJ4" s="43">
        <v>2007</v>
      </c>
      <c r="DK4" s="43">
        <v>2007</v>
      </c>
      <c r="DL4" s="43">
        <v>2006</v>
      </c>
      <c r="DM4" s="43">
        <v>2006</v>
      </c>
      <c r="DN4" s="43">
        <v>2005</v>
      </c>
      <c r="DO4" s="43">
        <v>2005</v>
      </c>
      <c r="DP4" s="43">
        <v>2004</v>
      </c>
      <c r="DQ4" s="43">
        <v>2004</v>
      </c>
      <c r="DR4" s="43">
        <v>2003</v>
      </c>
      <c r="DS4" s="43">
        <v>2003</v>
      </c>
      <c r="DT4" s="43">
        <v>2002</v>
      </c>
      <c r="DU4" s="43">
        <v>2002</v>
      </c>
      <c r="DV4" s="43">
        <v>2001</v>
      </c>
      <c r="DW4" s="43">
        <v>2001</v>
      </c>
      <c r="DX4" s="43">
        <v>2000</v>
      </c>
      <c r="DY4" s="44">
        <v>2000</v>
      </c>
      <c r="DZ4" s="70">
        <v>2024</v>
      </c>
      <c r="EA4" s="70">
        <v>2024</v>
      </c>
      <c r="EB4" s="70">
        <v>2023</v>
      </c>
      <c r="EC4" s="70">
        <v>2023</v>
      </c>
      <c r="ED4" s="70">
        <v>2022</v>
      </c>
      <c r="EE4" s="70">
        <v>2022</v>
      </c>
      <c r="EF4" s="70">
        <v>2021</v>
      </c>
      <c r="EG4" s="70">
        <v>2021</v>
      </c>
      <c r="EH4" s="70">
        <v>2020</v>
      </c>
      <c r="EI4" s="70">
        <v>2020</v>
      </c>
      <c r="EJ4" s="70">
        <v>2019</v>
      </c>
      <c r="EK4" s="70">
        <v>2019</v>
      </c>
      <c r="EL4" s="70">
        <v>2018</v>
      </c>
      <c r="EM4" s="70">
        <v>2018</v>
      </c>
      <c r="EN4" s="70">
        <v>2017</v>
      </c>
      <c r="EO4" s="70">
        <v>2017</v>
      </c>
      <c r="EP4" s="70">
        <v>2016</v>
      </c>
      <c r="EQ4" s="70">
        <v>2016</v>
      </c>
      <c r="ER4" s="70">
        <v>2015</v>
      </c>
      <c r="ES4" s="70">
        <v>2015</v>
      </c>
      <c r="ET4" s="70">
        <v>2014</v>
      </c>
      <c r="EU4" s="70">
        <v>2014</v>
      </c>
      <c r="EV4" s="70">
        <v>2013</v>
      </c>
      <c r="EW4" s="70">
        <v>2013</v>
      </c>
      <c r="EX4" s="70">
        <v>2012</v>
      </c>
      <c r="EY4" s="70">
        <v>2012</v>
      </c>
      <c r="EZ4" s="70">
        <v>2011</v>
      </c>
      <c r="FA4" s="70">
        <v>2011</v>
      </c>
      <c r="FB4" s="70">
        <v>2010</v>
      </c>
      <c r="FC4" s="70">
        <v>2010</v>
      </c>
      <c r="FD4" s="70">
        <v>2009</v>
      </c>
      <c r="FE4" s="70">
        <v>2009</v>
      </c>
      <c r="FF4" s="70">
        <v>2008</v>
      </c>
      <c r="FG4" s="70">
        <v>2008</v>
      </c>
      <c r="FH4" s="70">
        <v>2007</v>
      </c>
      <c r="FI4" s="70">
        <v>2007</v>
      </c>
      <c r="FJ4" s="70">
        <v>2006</v>
      </c>
      <c r="FK4" s="70">
        <v>2006</v>
      </c>
      <c r="FL4" s="70">
        <v>2005</v>
      </c>
      <c r="FM4" s="70">
        <v>2005</v>
      </c>
      <c r="FN4" s="70">
        <v>2004</v>
      </c>
      <c r="FO4" s="70">
        <v>2004</v>
      </c>
      <c r="FP4" s="70">
        <v>2003</v>
      </c>
      <c r="FQ4" s="70">
        <v>2003</v>
      </c>
      <c r="FR4" s="70">
        <v>2002</v>
      </c>
      <c r="FS4" s="70">
        <v>2002</v>
      </c>
      <c r="FT4" s="70">
        <v>2001</v>
      </c>
      <c r="FU4" s="70">
        <v>2001</v>
      </c>
      <c r="FV4" s="70">
        <v>2000</v>
      </c>
      <c r="FW4" s="71">
        <v>2000</v>
      </c>
      <c r="FX4" s="61">
        <v>2024</v>
      </c>
      <c r="FY4" s="61">
        <v>2024</v>
      </c>
      <c r="FZ4" s="61">
        <v>2023</v>
      </c>
      <c r="GA4" s="61">
        <v>2023</v>
      </c>
      <c r="GB4" s="61">
        <v>2022</v>
      </c>
      <c r="GC4" s="61">
        <v>2022</v>
      </c>
      <c r="GD4" s="61">
        <v>2021</v>
      </c>
      <c r="GE4" s="61">
        <v>2021</v>
      </c>
      <c r="GF4" s="61">
        <v>2020</v>
      </c>
      <c r="GG4" s="61">
        <v>2020</v>
      </c>
      <c r="GH4" s="61">
        <v>2019</v>
      </c>
      <c r="GI4" s="61">
        <v>2019</v>
      </c>
      <c r="GJ4" s="61">
        <v>2018</v>
      </c>
      <c r="GK4" s="61">
        <v>2018</v>
      </c>
      <c r="GL4" s="61">
        <v>2017</v>
      </c>
      <c r="GM4" s="61">
        <v>2017</v>
      </c>
      <c r="GN4" s="61">
        <v>2016</v>
      </c>
      <c r="GO4" s="61">
        <v>2016</v>
      </c>
      <c r="GP4" s="61">
        <v>2015</v>
      </c>
      <c r="GQ4" s="61">
        <v>2015</v>
      </c>
      <c r="GR4" s="61">
        <v>2014</v>
      </c>
      <c r="GS4" s="61">
        <v>2014</v>
      </c>
      <c r="GT4" s="61">
        <v>2013</v>
      </c>
      <c r="GU4" s="61">
        <v>2013</v>
      </c>
      <c r="GV4" s="61">
        <v>2012</v>
      </c>
      <c r="GW4" s="61">
        <v>2012</v>
      </c>
      <c r="GX4" s="61">
        <v>2011</v>
      </c>
      <c r="GY4" s="61">
        <v>2011</v>
      </c>
      <c r="GZ4" s="61">
        <v>2010</v>
      </c>
      <c r="HA4" s="61">
        <v>2010</v>
      </c>
      <c r="HB4" s="61">
        <v>2009</v>
      </c>
      <c r="HC4" s="61">
        <v>2009</v>
      </c>
      <c r="HD4" s="61">
        <v>2008</v>
      </c>
      <c r="HE4" s="61">
        <v>2008</v>
      </c>
      <c r="HF4" s="61">
        <v>2007</v>
      </c>
      <c r="HG4" s="61">
        <v>2007</v>
      </c>
      <c r="HH4" s="61">
        <v>2006</v>
      </c>
      <c r="HI4" s="61">
        <v>2006</v>
      </c>
      <c r="HJ4" s="61">
        <v>2005</v>
      </c>
      <c r="HK4" s="61">
        <v>2005</v>
      </c>
      <c r="HL4" s="61">
        <v>2004</v>
      </c>
      <c r="HM4" s="61">
        <v>2004</v>
      </c>
      <c r="HN4" s="61">
        <v>2003</v>
      </c>
      <c r="HO4" s="61">
        <v>2003</v>
      </c>
      <c r="HP4" s="61">
        <v>2002</v>
      </c>
      <c r="HQ4" s="61">
        <v>2002</v>
      </c>
      <c r="HR4" s="61">
        <v>2001</v>
      </c>
      <c r="HS4" s="61">
        <v>2001</v>
      </c>
      <c r="HT4" s="61">
        <v>2000</v>
      </c>
      <c r="HU4" s="62">
        <v>2000</v>
      </c>
    </row>
    <row r="5" spans="1:229" x14ac:dyDescent="0.3">
      <c r="A5" t="s">
        <v>6</v>
      </c>
      <c r="B5" t="s">
        <v>49</v>
      </c>
      <c r="C5" t="s">
        <v>49</v>
      </c>
      <c r="D5" s="3">
        <v>1249597</v>
      </c>
      <c r="E5" s="25">
        <v>1241175</v>
      </c>
      <c r="F5" s="25">
        <v>1222637</v>
      </c>
      <c r="G5" s="25">
        <v>1219970</v>
      </c>
      <c r="H5" s="25">
        <v>1218255</v>
      </c>
      <c r="I5" s="25">
        <v>1208542</v>
      </c>
      <c r="J5" s="25">
        <v>1198726</v>
      </c>
      <c r="K5" s="25">
        <v>1191604</v>
      </c>
      <c r="L5" s="25">
        <v>1187890</v>
      </c>
      <c r="M5" s="25">
        <v>1175173</v>
      </c>
      <c r="N5" s="25">
        <v>1163486</v>
      </c>
      <c r="O5" s="25">
        <v>1154635</v>
      </c>
      <c r="P5" s="25">
        <v>1138854</v>
      </c>
      <c r="Q5" s="25">
        <v>1119088</v>
      </c>
      <c r="R5" s="25">
        <v>1089538</v>
      </c>
      <c r="S5" s="25">
        <v>1068532</v>
      </c>
      <c r="T5" s="25">
        <v>1047346</v>
      </c>
      <c r="U5" s="25">
        <v>1031215</v>
      </c>
      <c r="V5" s="25">
        <v>1018804</v>
      </c>
      <c r="W5" s="25">
        <v>1006749</v>
      </c>
      <c r="X5" s="25">
        <v>999899</v>
      </c>
      <c r="Y5" s="25">
        <v>992041</v>
      </c>
      <c r="Z5" s="25">
        <v>978384</v>
      </c>
      <c r="AA5" s="25">
        <v>964405</v>
      </c>
      <c r="AB5" s="2">
        <v>959318</v>
      </c>
      <c r="AC5" s="1"/>
      <c r="AD5" s="4">
        <v>25109</v>
      </c>
      <c r="AE5" s="5">
        <f>AD5/D5</f>
        <v>2.0093678201852278E-2</v>
      </c>
      <c r="AF5" s="6">
        <v>25023</v>
      </c>
      <c r="AG5" s="5">
        <v>2.0160734787600498E-2</v>
      </c>
      <c r="AH5" s="6">
        <v>25011</v>
      </c>
      <c r="AI5" s="5">
        <v>2.04566032272866E-2</v>
      </c>
      <c r="AJ5" s="6">
        <v>23854</v>
      </c>
      <c r="AK5" s="5">
        <v>1.9552939826389198E-2</v>
      </c>
      <c r="AL5" s="6">
        <v>23585</v>
      </c>
      <c r="AM5" s="5">
        <v>1.93596578712995E-2</v>
      </c>
      <c r="AN5" s="6">
        <v>25089</v>
      </c>
      <c r="AO5" s="5">
        <v>2.0759725355014601E-2</v>
      </c>
      <c r="AP5" s="6">
        <v>25254</v>
      </c>
      <c r="AQ5" s="5">
        <v>2.10673665207896E-2</v>
      </c>
      <c r="AR5" s="6">
        <v>25129</v>
      </c>
      <c r="AS5" s="5">
        <v>2.10883817107025E-2</v>
      </c>
      <c r="AT5" s="6">
        <v>24381</v>
      </c>
      <c r="AU5" s="5">
        <v>2.0524627701218101E-2</v>
      </c>
      <c r="AV5" s="6">
        <v>24139</v>
      </c>
      <c r="AW5" s="5">
        <v>2.0540805481405699E-2</v>
      </c>
      <c r="AX5" s="6">
        <v>23375</v>
      </c>
      <c r="AY5" s="5">
        <v>2.0090486692577299E-2</v>
      </c>
      <c r="AZ5" s="6">
        <v>23655</v>
      </c>
      <c r="BA5" s="5">
        <v>2.0486993725289799E-2</v>
      </c>
      <c r="BB5" s="6">
        <v>22698</v>
      </c>
      <c r="BC5" s="5">
        <v>1.9930561775258301E-2</v>
      </c>
      <c r="BD5" s="6">
        <v>23179</v>
      </c>
      <c r="BE5" s="5">
        <v>2.0712401526957702E-2</v>
      </c>
      <c r="BF5" s="6">
        <v>24236</v>
      </c>
      <c r="BG5" s="5">
        <v>2.2244290699360601E-2</v>
      </c>
      <c r="BH5" s="6">
        <v>22004</v>
      </c>
      <c r="BI5" s="5">
        <v>2.05927384486379E-2</v>
      </c>
      <c r="BJ5" s="6">
        <v>22068</v>
      </c>
      <c r="BK5" s="5">
        <v>2.1070400803554899E-2</v>
      </c>
      <c r="BL5" s="6">
        <v>21766</v>
      </c>
      <c r="BM5" s="5">
        <v>2.11071406059842E-2</v>
      </c>
      <c r="BN5" s="6">
        <v>21200</v>
      </c>
      <c r="BO5" s="5">
        <v>2.0808712961472499E-2</v>
      </c>
      <c r="BP5" s="6">
        <v>21477</v>
      </c>
      <c r="BQ5" s="5">
        <v>2.1333023424905301E-2</v>
      </c>
      <c r="BR5" s="6">
        <v>21496</v>
      </c>
      <c r="BS5" s="5">
        <v>2.1498171315302801E-2</v>
      </c>
      <c r="BT5" s="6">
        <v>21201</v>
      </c>
      <c r="BU5" s="5">
        <v>2.13710925254097E-2</v>
      </c>
      <c r="BV5" s="6">
        <v>21609</v>
      </c>
      <c r="BW5" s="5">
        <v>2.2086420055929E-2</v>
      </c>
      <c r="BX5" s="6">
        <v>21195</v>
      </c>
      <c r="BY5" s="5">
        <v>2.1977281328902299E-2</v>
      </c>
      <c r="BZ5" s="6">
        <v>21490</v>
      </c>
      <c r="CA5" s="7">
        <v>2.2401330945525901E-2</v>
      </c>
      <c r="CB5" s="8">
        <v>43102</v>
      </c>
      <c r="CC5" s="9">
        <f>CB5/D5</f>
        <v>3.4492720453074069E-2</v>
      </c>
      <c r="CD5" s="8">
        <v>43775</v>
      </c>
      <c r="CE5" s="9">
        <v>3.5268999133885197E-2</v>
      </c>
      <c r="CF5" s="8">
        <v>44318</v>
      </c>
      <c r="CG5" s="9">
        <v>3.6247880605608997E-2</v>
      </c>
      <c r="CH5" s="8">
        <v>44905</v>
      </c>
      <c r="CI5" s="9">
        <v>3.6808282170873098E-2</v>
      </c>
      <c r="CJ5" s="8">
        <v>40904</v>
      </c>
      <c r="CK5" s="9">
        <v>3.3575893388494198E-2</v>
      </c>
      <c r="CL5" s="8">
        <v>40811</v>
      </c>
      <c r="CM5" s="9">
        <v>3.3768789169098E-2</v>
      </c>
      <c r="CN5" s="8">
        <v>40162</v>
      </c>
      <c r="CO5" s="9">
        <v>3.3503903310681503E-2</v>
      </c>
      <c r="CP5" s="8">
        <v>39430</v>
      </c>
      <c r="CQ5" s="9">
        <v>3.3089851997811399E-2</v>
      </c>
      <c r="CR5" s="8">
        <v>39124</v>
      </c>
      <c r="CS5" s="9">
        <v>3.2935709535394701E-2</v>
      </c>
      <c r="CT5" s="8">
        <v>37475</v>
      </c>
      <c r="CU5" s="9">
        <v>3.1888921886394597E-2</v>
      </c>
      <c r="CV5" s="8">
        <v>36795</v>
      </c>
      <c r="CW5" s="9">
        <v>3.1624789640786397E-2</v>
      </c>
      <c r="CX5" s="8">
        <v>36238</v>
      </c>
      <c r="CY5" s="9">
        <v>3.1384809918285898E-2</v>
      </c>
      <c r="CZ5" s="8">
        <v>36412</v>
      </c>
      <c r="DA5" s="9">
        <v>3.1972491645109902E-2</v>
      </c>
      <c r="DB5" s="8">
        <v>36125</v>
      </c>
      <c r="DC5" s="9">
        <v>3.2280750039317699E-2</v>
      </c>
      <c r="DD5" s="8">
        <v>37057</v>
      </c>
      <c r="DE5" s="9">
        <v>3.4011663659275798E-2</v>
      </c>
      <c r="DF5" s="8">
        <v>34045</v>
      </c>
      <c r="DG5" s="9">
        <v>3.1861469754766399E-2</v>
      </c>
      <c r="DH5" s="8">
        <v>34662</v>
      </c>
      <c r="DI5" s="9">
        <v>3.3095080326845203E-2</v>
      </c>
      <c r="DJ5" s="8">
        <v>34761</v>
      </c>
      <c r="DK5" s="9">
        <v>3.3708780419214199E-2</v>
      </c>
      <c r="DL5" s="8">
        <v>34834</v>
      </c>
      <c r="DM5" s="9">
        <v>3.4191071099053401E-2</v>
      </c>
      <c r="DN5" s="8">
        <v>34034</v>
      </c>
      <c r="DO5" s="9">
        <v>3.3805844356438401E-2</v>
      </c>
      <c r="DP5" s="8">
        <v>33711</v>
      </c>
      <c r="DQ5" s="9">
        <v>3.37144051549206E-2</v>
      </c>
      <c r="DR5" s="8">
        <v>31518</v>
      </c>
      <c r="DS5" s="9">
        <v>3.1770864309035599E-2</v>
      </c>
      <c r="DT5" s="8">
        <v>29824</v>
      </c>
      <c r="DU5" s="9">
        <v>3.0482918772179401E-2</v>
      </c>
      <c r="DV5" s="8">
        <v>28151</v>
      </c>
      <c r="DW5" s="9">
        <v>2.91900187162033E-2</v>
      </c>
      <c r="DX5" s="8">
        <v>27497</v>
      </c>
      <c r="DY5" s="10">
        <v>2.86630710567299E-2</v>
      </c>
      <c r="DZ5" s="72">
        <v>-17993</v>
      </c>
      <c r="EA5" s="73">
        <f>DZ5/D5</f>
        <v>-1.4399042251221794E-2</v>
      </c>
      <c r="EB5" s="72">
        <v>-18752</v>
      </c>
      <c r="EC5" s="73">
        <v>-1.5108264346284799E-2</v>
      </c>
      <c r="ED5" s="72">
        <v>-19307</v>
      </c>
      <c r="EE5" s="73">
        <v>-1.5791277378322401E-2</v>
      </c>
      <c r="EF5" s="72">
        <v>-21051</v>
      </c>
      <c r="EG5" s="73">
        <v>-1.72553423444839E-2</v>
      </c>
      <c r="EH5" s="72">
        <v>-17319</v>
      </c>
      <c r="EI5" s="73">
        <v>-1.4216235517194699E-2</v>
      </c>
      <c r="EJ5" s="72">
        <v>-15722</v>
      </c>
      <c r="EK5" s="73">
        <v>-1.3009063814083399E-2</v>
      </c>
      <c r="EL5" s="72">
        <v>-14908</v>
      </c>
      <c r="EM5" s="73">
        <v>-1.24365367898919E-2</v>
      </c>
      <c r="EN5" s="72">
        <v>-14301</v>
      </c>
      <c r="EO5" s="73">
        <v>-1.20014702871088E-2</v>
      </c>
      <c r="EP5" s="72">
        <v>-14743</v>
      </c>
      <c r="EQ5" s="73">
        <v>-1.24110818341766E-2</v>
      </c>
      <c r="ER5" s="72">
        <v>-13336</v>
      </c>
      <c r="ES5" s="73">
        <v>-1.13481164049889E-2</v>
      </c>
      <c r="ET5" s="72">
        <v>-13420</v>
      </c>
      <c r="EU5" s="73">
        <v>-1.15343029482091E-2</v>
      </c>
      <c r="EV5" s="72">
        <v>-12583</v>
      </c>
      <c r="EW5" s="73">
        <v>-1.0897816192996099E-2</v>
      </c>
      <c r="EX5" s="72">
        <v>-13714</v>
      </c>
      <c r="EY5" s="73">
        <v>-1.20419298698516E-2</v>
      </c>
      <c r="EZ5" s="72">
        <v>-12946</v>
      </c>
      <c r="FA5" s="73">
        <v>-1.15683485123601E-2</v>
      </c>
      <c r="FB5" s="72">
        <v>-12821</v>
      </c>
      <c r="FC5" s="73">
        <v>-1.17673729599151E-2</v>
      </c>
      <c r="FD5" s="72">
        <v>-12041</v>
      </c>
      <c r="FE5" s="73">
        <v>-1.1268731306128399E-2</v>
      </c>
      <c r="FF5" s="72">
        <v>-12594</v>
      </c>
      <c r="FG5" s="73">
        <v>-1.20246795232903E-2</v>
      </c>
      <c r="FH5" s="72">
        <v>-12995</v>
      </c>
      <c r="FI5" s="73">
        <v>-1.260163981323E-2</v>
      </c>
      <c r="FJ5" s="72">
        <v>-13634</v>
      </c>
      <c r="FK5" s="73">
        <v>-1.33823581375809E-2</v>
      </c>
      <c r="FL5" s="72">
        <v>-12557</v>
      </c>
      <c r="FM5" s="73">
        <v>-1.24728209315331E-2</v>
      </c>
      <c r="FN5" s="72">
        <v>-12215</v>
      </c>
      <c r="FO5" s="73">
        <v>-1.2216233839617801E-2</v>
      </c>
      <c r="FP5" s="72">
        <v>-10317</v>
      </c>
      <c r="FQ5" s="73">
        <v>-1.0399771783625901E-2</v>
      </c>
      <c r="FR5" s="72">
        <v>-8215</v>
      </c>
      <c r="FS5" s="73">
        <v>-8.3964987162504692E-3</v>
      </c>
      <c r="FT5" s="72">
        <v>-6956</v>
      </c>
      <c r="FU5" s="73">
        <v>-7.2127373873009798E-3</v>
      </c>
      <c r="FV5" s="72">
        <v>-6007</v>
      </c>
      <c r="FW5" s="74">
        <v>-6.261740111204E-3</v>
      </c>
      <c r="FX5" s="63">
        <v>19398</v>
      </c>
      <c r="FY5" s="64">
        <f>FX5/D5</f>
        <v>1.5523404745690011E-2</v>
      </c>
      <c r="FZ5" s="63">
        <v>21443</v>
      </c>
      <c r="GA5" s="64">
        <v>1.72763711805346E-2</v>
      </c>
      <c r="GB5" s="63">
        <v>31685</v>
      </c>
      <c r="GC5" s="64">
        <v>2.5915296199935101E-2</v>
      </c>
      <c r="GD5" s="63">
        <v>16965</v>
      </c>
      <c r="GE5" s="64">
        <v>1.39060796576965E-2</v>
      </c>
      <c r="GF5" s="63">
        <v>13635</v>
      </c>
      <c r="GG5" s="64">
        <v>1.11922380782349E-2</v>
      </c>
      <c r="GH5" s="63">
        <v>17799</v>
      </c>
      <c r="GI5" s="64">
        <v>1.4727663581406401E-2</v>
      </c>
      <c r="GJ5" s="63">
        <v>16996</v>
      </c>
      <c r="GK5" s="64">
        <v>1.41783860531931E-2</v>
      </c>
      <c r="GL5" s="63">
        <v>12580</v>
      </c>
      <c r="GM5" s="64">
        <v>1.0557198532398299E-2</v>
      </c>
      <c r="GN5" s="63">
        <v>9917</v>
      </c>
      <c r="GO5" s="64">
        <v>8.3484160991337594E-3</v>
      </c>
      <c r="GP5" s="63">
        <v>17303</v>
      </c>
      <c r="GQ5" s="64">
        <v>1.47237896037434E-2</v>
      </c>
      <c r="GR5" s="63">
        <v>16107</v>
      </c>
      <c r="GS5" s="64">
        <v>1.3843741996036101E-2</v>
      </c>
      <c r="GT5" s="63">
        <v>11974</v>
      </c>
      <c r="GU5" s="64">
        <v>1.03703767857375E-2</v>
      </c>
      <c r="GV5" s="63">
        <v>19499</v>
      </c>
      <c r="GW5" s="64">
        <v>1.7121597676260501E-2</v>
      </c>
      <c r="GX5" s="63">
        <v>23612</v>
      </c>
      <c r="GY5" s="64">
        <v>2.1099323735041399E-2</v>
      </c>
      <c r="GZ5" s="63">
        <v>29412</v>
      </c>
      <c r="HA5" s="64">
        <v>2.6994928125499099E-2</v>
      </c>
      <c r="HB5" s="63">
        <v>24265</v>
      </c>
      <c r="HC5" s="64">
        <v>2.2708725616078899E-2</v>
      </c>
      <c r="HD5" s="63">
        <v>25957</v>
      </c>
      <c r="HE5" s="64">
        <v>2.4783595869941701E-2</v>
      </c>
      <c r="HF5" s="63">
        <v>22194</v>
      </c>
      <c r="HG5" s="64">
        <v>2.1522184995369498E-2</v>
      </c>
      <c r="HH5" s="63">
        <v>18129</v>
      </c>
      <c r="HI5" s="64">
        <v>1.7794394211251601E-2</v>
      </c>
      <c r="HJ5" s="63">
        <v>17382</v>
      </c>
      <c r="HK5" s="64">
        <v>1.7265475307152001E-2</v>
      </c>
      <c r="HL5" s="63">
        <v>12871</v>
      </c>
      <c r="HM5" s="64">
        <v>1.2872300102310301E-2</v>
      </c>
      <c r="HN5" s="63">
        <v>13058</v>
      </c>
      <c r="HO5" s="64">
        <v>1.31627624261497E-2</v>
      </c>
      <c r="HP5" s="63">
        <v>17159</v>
      </c>
      <c r="HQ5" s="64">
        <v>1.7538103648465201E-2</v>
      </c>
      <c r="HR5" s="63">
        <v>16119</v>
      </c>
      <c r="HS5" s="64">
        <v>1.67139324246556E-2</v>
      </c>
      <c r="HT5" s="63">
        <v>6699</v>
      </c>
      <c r="HU5" s="65">
        <v>6.9830859006085599E-3</v>
      </c>
    </row>
    <row r="6" spans="1:229" x14ac:dyDescent="0.3">
      <c r="A6" t="s">
        <v>7</v>
      </c>
      <c r="B6" t="s">
        <v>8</v>
      </c>
      <c r="C6" t="s">
        <v>8</v>
      </c>
      <c r="D6" s="3">
        <v>126581</v>
      </c>
      <c r="E6" s="25">
        <v>125065</v>
      </c>
      <c r="F6" s="25">
        <v>122547</v>
      </c>
      <c r="G6" s="25">
        <v>121929</v>
      </c>
      <c r="H6" s="25">
        <v>120887</v>
      </c>
      <c r="I6" s="25">
        <v>119714</v>
      </c>
      <c r="J6" s="25">
        <v>118382</v>
      </c>
      <c r="K6" s="25">
        <v>118241</v>
      </c>
      <c r="L6" s="25">
        <v>117412</v>
      </c>
      <c r="M6" s="25">
        <v>116332</v>
      </c>
      <c r="N6" s="25">
        <v>115178</v>
      </c>
      <c r="O6" s="25">
        <v>113462</v>
      </c>
      <c r="P6" s="25">
        <v>111279</v>
      </c>
      <c r="Q6" s="25">
        <v>107912</v>
      </c>
      <c r="R6" s="25">
        <v>104647</v>
      </c>
      <c r="S6" s="25">
        <v>101371</v>
      </c>
      <c r="T6" s="25">
        <v>98989</v>
      </c>
      <c r="U6" s="25">
        <v>97601</v>
      </c>
      <c r="V6" s="25">
        <v>96011</v>
      </c>
      <c r="W6" s="25">
        <v>93808</v>
      </c>
      <c r="X6" s="25">
        <v>92755</v>
      </c>
      <c r="Y6" s="25">
        <v>91759</v>
      </c>
      <c r="Z6" s="25">
        <v>90134</v>
      </c>
      <c r="AA6" s="25">
        <v>88822</v>
      </c>
      <c r="AB6" s="2">
        <v>87812</v>
      </c>
      <c r="AC6" s="1"/>
      <c r="AD6" s="4">
        <v>7925</v>
      </c>
      <c r="AE6" s="5">
        <f>AD6/D6</f>
        <v>6.2608132342136649E-2</v>
      </c>
      <c r="AF6" s="6">
        <v>7739</v>
      </c>
      <c r="AG6" s="5">
        <v>6.1879822492303997E-2</v>
      </c>
      <c r="AH6" s="6">
        <v>7395</v>
      </c>
      <c r="AI6" s="5">
        <v>6.0344194472324898E-2</v>
      </c>
      <c r="AJ6" s="6">
        <v>7700</v>
      </c>
      <c r="AK6" s="5">
        <v>6.3151506204430399E-2</v>
      </c>
      <c r="AL6" s="6">
        <v>7378</v>
      </c>
      <c r="AM6" s="5">
        <v>6.1032203628181701E-2</v>
      </c>
      <c r="AN6" s="6">
        <v>7969</v>
      </c>
      <c r="AO6" s="5">
        <v>6.6566984646741406E-2</v>
      </c>
      <c r="AP6" s="6">
        <v>7675</v>
      </c>
      <c r="AQ6" s="5">
        <v>6.48324914260614E-2</v>
      </c>
      <c r="AR6" s="6">
        <v>7197</v>
      </c>
      <c r="AS6" s="5">
        <v>6.0867211880819699E-2</v>
      </c>
      <c r="AT6" s="6">
        <v>7088</v>
      </c>
      <c r="AU6" s="5">
        <v>6.0368616495758497E-2</v>
      </c>
      <c r="AV6" s="6">
        <v>7429</v>
      </c>
      <c r="AW6" s="5">
        <v>6.3860330777430099E-2</v>
      </c>
      <c r="AX6" s="6">
        <v>7413</v>
      </c>
      <c r="AY6" s="5">
        <v>6.4361249544183805E-2</v>
      </c>
      <c r="AZ6" s="6">
        <v>7492</v>
      </c>
      <c r="BA6" s="5">
        <v>6.60309178403342E-2</v>
      </c>
      <c r="BB6" s="6">
        <v>7449</v>
      </c>
      <c r="BC6" s="5">
        <v>6.6939853880786104E-2</v>
      </c>
      <c r="BD6" s="6">
        <v>7458</v>
      </c>
      <c r="BE6" s="5">
        <v>6.9111868930239406E-2</v>
      </c>
      <c r="BF6" s="6">
        <v>7557</v>
      </c>
      <c r="BG6" s="5">
        <v>7.2214205853966207E-2</v>
      </c>
      <c r="BH6" s="6">
        <v>6868</v>
      </c>
      <c r="BI6" s="5">
        <v>6.7751131980546705E-2</v>
      </c>
      <c r="BJ6" s="6">
        <v>6947</v>
      </c>
      <c r="BK6" s="5">
        <v>7.01795148955945E-2</v>
      </c>
      <c r="BL6" s="6">
        <v>6568</v>
      </c>
      <c r="BM6" s="5">
        <v>6.7294392475486894E-2</v>
      </c>
      <c r="BN6" s="6">
        <v>6239</v>
      </c>
      <c r="BO6" s="5">
        <v>6.4982137463415607E-2</v>
      </c>
      <c r="BP6" s="6">
        <v>6595</v>
      </c>
      <c r="BQ6" s="5">
        <v>7.0303172437318803E-2</v>
      </c>
      <c r="BR6" s="6">
        <v>6355</v>
      </c>
      <c r="BS6" s="5">
        <v>6.8513826747884199E-2</v>
      </c>
      <c r="BT6" s="6">
        <v>6062</v>
      </c>
      <c r="BU6" s="5">
        <v>6.6064364258546907E-2</v>
      </c>
      <c r="BV6" s="6">
        <v>5961</v>
      </c>
      <c r="BW6" s="5">
        <v>6.6134865866376694E-2</v>
      </c>
      <c r="BX6" s="6">
        <v>5838</v>
      </c>
      <c r="BY6" s="5">
        <v>6.5726959537051599E-2</v>
      </c>
      <c r="BZ6" s="6">
        <v>6058</v>
      </c>
      <c r="CA6" s="7">
        <v>6.8988293171776099E-2</v>
      </c>
      <c r="CB6" s="8">
        <v>8729</v>
      </c>
      <c r="CC6" s="9">
        <f>CB6/D6</f>
        <v>6.8959796493944583E-2</v>
      </c>
      <c r="CD6" s="8">
        <v>8814</v>
      </c>
      <c r="CE6" s="9">
        <v>7.04753528165354E-2</v>
      </c>
      <c r="CF6" s="8">
        <v>8806</v>
      </c>
      <c r="CG6" s="9">
        <v>7.1858144222216799E-2</v>
      </c>
      <c r="CH6" s="8">
        <v>9194</v>
      </c>
      <c r="CI6" s="9">
        <v>7.5404538706952406E-2</v>
      </c>
      <c r="CJ6" s="8">
        <v>8187</v>
      </c>
      <c r="CK6" s="9">
        <v>6.7724403782044404E-2</v>
      </c>
      <c r="CL6" s="8">
        <v>9206</v>
      </c>
      <c r="CM6" s="9">
        <v>7.6899944868603506E-2</v>
      </c>
      <c r="CN6" s="8">
        <v>9566</v>
      </c>
      <c r="CO6" s="9">
        <v>8.0806203645824498E-2</v>
      </c>
      <c r="CP6" s="8">
        <v>9209</v>
      </c>
      <c r="CQ6" s="9">
        <v>7.7883306129007707E-2</v>
      </c>
      <c r="CR6" s="8">
        <v>8817</v>
      </c>
      <c r="CS6" s="9">
        <v>7.5094538888699602E-2</v>
      </c>
      <c r="CT6" s="8">
        <v>8915</v>
      </c>
      <c r="CU6" s="9">
        <v>7.6634116150328405E-2</v>
      </c>
      <c r="CV6" s="8">
        <v>8621</v>
      </c>
      <c r="CW6" s="9">
        <v>7.4849363593741905E-2</v>
      </c>
      <c r="CX6" s="8">
        <v>8322</v>
      </c>
      <c r="CY6" s="9">
        <v>7.3346142320777005E-2</v>
      </c>
      <c r="CZ6" s="8">
        <v>8698</v>
      </c>
      <c r="DA6" s="9">
        <v>7.8163894355628594E-2</v>
      </c>
      <c r="DB6" s="8">
        <v>8446</v>
      </c>
      <c r="DC6" s="9">
        <v>7.8267477203647406E-2</v>
      </c>
      <c r="DD6" s="8">
        <v>8619</v>
      </c>
      <c r="DE6" s="9">
        <v>8.2362609534912604E-2</v>
      </c>
      <c r="DF6" s="8">
        <v>7774</v>
      </c>
      <c r="DG6" s="9">
        <v>7.6688599303548294E-2</v>
      </c>
      <c r="DH6" s="8">
        <v>7544</v>
      </c>
      <c r="DI6" s="9">
        <v>7.6210488034023999E-2</v>
      </c>
      <c r="DJ6" s="8">
        <v>7457</v>
      </c>
      <c r="DK6" s="9">
        <v>7.6402905707933302E-2</v>
      </c>
      <c r="DL6" s="8">
        <v>7126</v>
      </c>
      <c r="DM6" s="9">
        <v>7.4220662215787797E-2</v>
      </c>
      <c r="DN6" s="8">
        <v>6857</v>
      </c>
      <c r="DO6" s="9">
        <v>7.3096111205867301E-2</v>
      </c>
      <c r="DP6" s="8">
        <v>6944</v>
      </c>
      <c r="DQ6" s="9">
        <v>7.4863888739151493E-2</v>
      </c>
      <c r="DR6" s="8">
        <v>6676</v>
      </c>
      <c r="DS6" s="9">
        <v>7.2755805969986598E-2</v>
      </c>
      <c r="DT6" s="8">
        <v>5927</v>
      </c>
      <c r="DU6" s="9">
        <v>6.5757649721525702E-2</v>
      </c>
      <c r="DV6" s="8">
        <v>5813</v>
      </c>
      <c r="DW6" s="9">
        <v>6.5445497737047095E-2</v>
      </c>
      <c r="DX6" s="8">
        <v>5734</v>
      </c>
      <c r="DY6" s="10">
        <v>6.5298592447501497E-2</v>
      </c>
      <c r="DZ6" s="72">
        <v>-804</v>
      </c>
      <c r="EA6" s="73">
        <f>DZ6/D6</f>
        <v>-6.3516641518079333E-3</v>
      </c>
      <c r="EB6" s="72">
        <v>-1075</v>
      </c>
      <c r="EC6" s="73">
        <v>-8.5955303242313992E-3</v>
      </c>
      <c r="ED6" s="72">
        <v>-1411</v>
      </c>
      <c r="EE6" s="73">
        <v>-1.1513949749891899E-2</v>
      </c>
      <c r="EF6" s="72">
        <v>-1494</v>
      </c>
      <c r="EG6" s="73">
        <v>-1.2253032502522E-2</v>
      </c>
      <c r="EH6" s="72">
        <v>-809</v>
      </c>
      <c r="EI6" s="73">
        <v>-6.6922001538627001E-3</v>
      </c>
      <c r="EJ6" s="72">
        <v>-1237</v>
      </c>
      <c r="EK6" s="73">
        <v>-1.03329602218621E-2</v>
      </c>
      <c r="EL6" s="72">
        <v>-1891</v>
      </c>
      <c r="EM6" s="73">
        <v>-1.5973712219763101E-2</v>
      </c>
      <c r="EN6" s="72">
        <v>-2012</v>
      </c>
      <c r="EO6" s="73">
        <v>-1.7016094248188E-2</v>
      </c>
      <c r="EP6" s="72">
        <v>-1729</v>
      </c>
      <c r="EQ6" s="73">
        <v>-1.47259223929411E-2</v>
      </c>
      <c r="ER6" s="72">
        <v>-1486</v>
      </c>
      <c r="ES6" s="73">
        <v>-1.27737853728983E-2</v>
      </c>
      <c r="ET6" s="72">
        <v>-1208</v>
      </c>
      <c r="EU6" s="73">
        <v>-1.04881140495581E-2</v>
      </c>
      <c r="EV6" s="72">
        <v>-830</v>
      </c>
      <c r="EW6" s="73">
        <v>-7.3152244804427901E-3</v>
      </c>
      <c r="EX6" s="72">
        <v>-1249</v>
      </c>
      <c r="EY6" s="73">
        <v>-1.12240404748425E-2</v>
      </c>
      <c r="EZ6" s="72">
        <v>-988</v>
      </c>
      <c r="FA6" s="73">
        <v>-9.1556082734079603E-3</v>
      </c>
      <c r="FB6" s="72">
        <v>-1062</v>
      </c>
      <c r="FC6" s="73">
        <v>-1.01484036809464E-2</v>
      </c>
      <c r="FD6" s="72">
        <v>-906</v>
      </c>
      <c r="FE6" s="73">
        <v>-8.9374673230016508E-3</v>
      </c>
      <c r="FF6" s="72">
        <v>-597</v>
      </c>
      <c r="FG6" s="73">
        <v>-6.0309731384295198E-3</v>
      </c>
      <c r="FH6" s="72">
        <v>-889</v>
      </c>
      <c r="FI6" s="73">
        <v>-9.1085132324463906E-3</v>
      </c>
      <c r="FJ6" s="72">
        <v>-887</v>
      </c>
      <c r="FK6" s="73">
        <v>-9.2385247523721192E-3</v>
      </c>
      <c r="FL6" s="72">
        <v>-262</v>
      </c>
      <c r="FM6" s="73">
        <v>-2.79293876854852E-3</v>
      </c>
      <c r="FN6" s="72">
        <v>-589</v>
      </c>
      <c r="FO6" s="73">
        <v>-6.3500619912673197E-3</v>
      </c>
      <c r="FP6" s="72">
        <v>-614</v>
      </c>
      <c r="FQ6" s="73">
        <v>-6.6914417114397502E-3</v>
      </c>
      <c r="FR6" s="72">
        <v>34</v>
      </c>
      <c r="FS6" s="73">
        <v>3.77216144851E-4</v>
      </c>
      <c r="FT6" s="72">
        <v>25</v>
      </c>
      <c r="FU6" s="73">
        <v>2.8146180000450301E-4</v>
      </c>
      <c r="FV6" s="72">
        <v>324</v>
      </c>
      <c r="FW6" s="74">
        <v>3.6897007242745901E-3</v>
      </c>
      <c r="FX6" s="63">
        <v>2216</v>
      </c>
      <c r="FY6" s="64">
        <f>FX6/D6</f>
        <v>1.7506576816425846E-2</v>
      </c>
      <c r="FZ6" s="63">
        <v>1782</v>
      </c>
      <c r="GA6" s="64">
        <v>1.42485907328189E-2</v>
      </c>
      <c r="GB6" s="63">
        <v>3174</v>
      </c>
      <c r="GC6" s="64">
        <v>2.5900266836397502E-2</v>
      </c>
      <c r="GD6" s="63">
        <v>1336</v>
      </c>
      <c r="GE6" s="64">
        <v>1.09571964011843E-2</v>
      </c>
      <c r="GF6" s="63">
        <v>1146</v>
      </c>
      <c r="GG6" s="64">
        <v>9.4799275356324507E-3</v>
      </c>
      <c r="GH6" s="63">
        <v>1506</v>
      </c>
      <c r="GI6" s="64">
        <v>1.25799822911272E-2</v>
      </c>
      <c r="GJ6" s="63">
        <v>2348</v>
      </c>
      <c r="GK6" s="64">
        <v>1.9834096399790498E-2</v>
      </c>
      <c r="GL6" s="63">
        <v>1213</v>
      </c>
      <c r="GM6" s="64">
        <v>1.0258708908077599E-2</v>
      </c>
      <c r="GN6" s="63">
        <v>1473</v>
      </c>
      <c r="GO6" s="64">
        <v>1.25455660409498E-2</v>
      </c>
      <c r="GP6" s="63">
        <v>1603</v>
      </c>
      <c r="GQ6" s="64">
        <v>1.3779527559055101E-2</v>
      </c>
      <c r="GR6" s="63">
        <v>1414</v>
      </c>
      <c r="GS6" s="64">
        <v>1.2276650054697901E-2</v>
      </c>
      <c r="GT6" s="63">
        <v>1646</v>
      </c>
      <c r="GU6" s="64">
        <v>1.45070596322998E-2</v>
      </c>
      <c r="GV6" s="63">
        <v>2458</v>
      </c>
      <c r="GW6" s="64">
        <v>2.2088624089001498E-2</v>
      </c>
      <c r="GX6" s="63">
        <v>3310</v>
      </c>
      <c r="GY6" s="64">
        <v>3.06731410779153E-2</v>
      </c>
      <c r="GZ6" s="63">
        <v>3245</v>
      </c>
      <c r="HA6" s="64">
        <v>3.10090112473363E-2</v>
      </c>
      <c r="HB6" s="63">
        <v>3191</v>
      </c>
      <c r="HC6" s="64">
        <v>3.1478430714898697E-2</v>
      </c>
      <c r="HD6" s="63">
        <v>2250</v>
      </c>
      <c r="HE6" s="64">
        <v>2.2729798260412801E-2</v>
      </c>
      <c r="HF6" s="63">
        <v>1458</v>
      </c>
      <c r="HG6" s="64">
        <v>1.4938371533078599E-2</v>
      </c>
      <c r="HH6" s="63">
        <v>1663</v>
      </c>
      <c r="HI6" s="64">
        <v>1.7320931976544399E-2</v>
      </c>
      <c r="HJ6" s="63">
        <v>1748</v>
      </c>
      <c r="HK6" s="64">
        <v>1.8633805219171101E-2</v>
      </c>
      <c r="HL6" s="63">
        <v>1084</v>
      </c>
      <c r="HM6" s="64">
        <v>1.16867015255242E-2</v>
      </c>
      <c r="HN6" s="63">
        <v>1178</v>
      </c>
      <c r="HO6" s="64">
        <v>1.28379777460522E-2</v>
      </c>
      <c r="HP6" s="63">
        <v>1194</v>
      </c>
      <c r="HQ6" s="64">
        <v>1.3246943439767501E-2</v>
      </c>
      <c r="HR6" s="63">
        <v>926</v>
      </c>
      <c r="HS6" s="64">
        <v>1.0425345072166799E-2</v>
      </c>
      <c r="HT6" s="63">
        <v>373</v>
      </c>
      <c r="HU6" s="65">
        <v>4.2477110189951296E-3</v>
      </c>
    </row>
    <row r="7" spans="1:229" x14ac:dyDescent="0.3">
      <c r="A7" t="s">
        <v>9</v>
      </c>
      <c r="B7" t="s">
        <v>50</v>
      </c>
      <c r="C7" t="s">
        <v>10</v>
      </c>
      <c r="D7" s="3">
        <v>35350</v>
      </c>
      <c r="E7" s="25">
        <v>35346</v>
      </c>
      <c r="F7" s="25">
        <v>34986</v>
      </c>
      <c r="G7" s="25">
        <v>34723</v>
      </c>
      <c r="H7" s="25">
        <v>34404</v>
      </c>
      <c r="I7" s="25">
        <v>34013</v>
      </c>
      <c r="J7" s="25">
        <v>33740</v>
      </c>
      <c r="K7" s="25">
        <v>33313</v>
      </c>
      <c r="L7" s="25">
        <v>33161</v>
      </c>
      <c r="M7" s="25">
        <v>32835</v>
      </c>
      <c r="N7" s="25">
        <v>32560</v>
      </c>
      <c r="O7" s="25">
        <v>32350</v>
      </c>
      <c r="P7" s="25">
        <v>31963</v>
      </c>
      <c r="Q7" s="25">
        <v>31408</v>
      </c>
      <c r="R7" s="25">
        <v>30811</v>
      </c>
      <c r="S7" s="25">
        <v>30456</v>
      </c>
      <c r="T7" s="25">
        <v>30049</v>
      </c>
      <c r="U7" s="25">
        <v>29681</v>
      </c>
      <c r="V7" s="25">
        <v>29552</v>
      </c>
      <c r="W7" s="25">
        <v>29265</v>
      </c>
      <c r="X7" s="25">
        <v>29088</v>
      </c>
      <c r="Y7" s="25">
        <v>28992</v>
      </c>
      <c r="Z7" s="25">
        <v>29000</v>
      </c>
      <c r="AA7" s="25">
        <v>28916</v>
      </c>
      <c r="AB7" s="2">
        <v>28804</v>
      </c>
      <c r="AC7" s="1"/>
      <c r="AD7" s="4">
        <v>3022</v>
      </c>
      <c r="AE7" s="5">
        <f>AD7/D7</f>
        <v>8.5487977369165483E-2</v>
      </c>
      <c r="AF7" s="6">
        <v>2816</v>
      </c>
      <c r="AG7" s="5">
        <v>7.9669552424602497E-2</v>
      </c>
      <c r="AH7" s="6">
        <v>2822</v>
      </c>
      <c r="AI7" s="5">
        <v>8.0660835762876595E-2</v>
      </c>
      <c r="AJ7" s="6">
        <v>2703</v>
      </c>
      <c r="AK7" s="5">
        <v>7.7844656279699304E-2</v>
      </c>
      <c r="AL7" s="6">
        <v>2825</v>
      </c>
      <c r="AM7" s="5">
        <v>8.2112545052900804E-2</v>
      </c>
      <c r="AN7" s="6">
        <v>2756</v>
      </c>
      <c r="AO7" s="5">
        <v>8.10278422955929E-2</v>
      </c>
      <c r="AP7" s="6">
        <v>2608</v>
      </c>
      <c r="AQ7" s="5">
        <v>7.7296976882039098E-2</v>
      </c>
      <c r="AR7" s="6">
        <v>2531</v>
      </c>
      <c r="AS7" s="5">
        <v>7.5976345570798201E-2</v>
      </c>
      <c r="AT7" s="6">
        <v>2672</v>
      </c>
      <c r="AU7" s="5">
        <v>8.0576580923373803E-2</v>
      </c>
      <c r="AV7" s="6">
        <v>2561</v>
      </c>
      <c r="AW7" s="5">
        <v>7.7996040810111203E-2</v>
      </c>
      <c r="AX7" s="6">
        <v>2585</v>
      </c>
      <c r="AY7" s="5">
        <v>7.93918918918919E-2</v>
      </c>
      <c r="AZ7" s="6">
        <v>2511</v>
      </c>
      <c r="BA7" s="5">
        <v>7.7619783616692403E-2</v>
      </c>
      <c r="BB7" s="6">
        <v>2453</v>
      </c>
      <c r="BC7" s="5">
        <v>7.6744986390513997E-2</v>
      </c>
      <c r="BD7" s="6">
        <v>2547</v>
      </c>
      <c r="BE7" s="5">
        <v>8.1093988792664301E-2</v>
      </c>
      <c r="BF7" s="6">
        <v>2550</v>
      </c>
      <c r="BG7" s="5">
        <v>8.2762649703028102E-2</v>
      </c>
      <c r="BH7" s="6">
        <v>2288</v>
      </c>
      <c r="BI7" s="5">
        <v>7.5124770160231197E-2</v>
      </c>
      <c r="BJ7" s="6">
        <v>2405</v>
      </c>
      <c r="BK7" s="5">
        <v>8.00359412958834E-2</v>
      </c>
      <c r="BL7" s="6">
        <v>2192</v>
      </c>
      <c r="BM7" s="5">
        <v>7.3851959165796302E-2</v>
      </c>
      <c r="BN7" s="6">
        <v>2079</v>
      </c>
      <c r="BO7" s="5">
        <v>7.0350568489442294E-2</v>
      </c>
      <c r="BP7" s="6">
        <v>2170</v>
      </c>
      <c r="BQ7" s="5">
        <v>7.4150008542627696E-2</v>
      </c>
      <c r="BR7" s="6">
        <v>2200</v>
      </c>
      <c r="BS7" s="5">
        <v>7.56325632563256E-2</v>
      </c>
      <c r="BT7" s="6">
        <v>2081</v>
      </c>
      <c r="BU7" s="5">
        <v>7.1778421633554093E-2</v>
      </c>
      <c r="BV7" s="6">
        <v>1979</v>
      </c>
      <c r="BW7" s="5">
        <v>6.8241379310344796E-2</v>
      </c>
      <c r="BX7" s="6">
        <v>2026</v>
      </c>
      <c r="BY7" s="5">
        <v>7.0065015908147704E-2</v>
      </c>
      <c r="BZ7" s="6">
        <v>2020</v>
      </c>
      <c r="CA7" s="7">
        <v>7.0129148729343102E-2</v>
      </c>
      <c r="CB7" s="8">
        <v>2930</v>
      </c>
      <c r="CC7" s="9">
        <f>CB7/D7</f>
        <v>8.2885431400282886E-2</v>
      </c>
      <c r="CD7" s="8">
        <v>2955</v>
      </c>
      <c r="CE7" s="9">
        <v>8.3602104905788496E-2</v>
      </c>
      <c r="CF7" s="8">
        <v>3108</v>
      </c>
      <c r="CG7" s="9">
        <v>8.8835534213685494E-2</v>
      </c>
      <c r="CH7" s="8">
        <v>2934</v>
      </c>
      <c r="CI7" s="9">
        <v>8.44973072603174E-2</v>
      </c>
      <c r="CJ7" s="8">
        <v>2737</v>
      </c>
      <c r="CK7" s="9">
        <v>7.9554702941518396E-2</v>
      </c>
      <c r="CL7" s="8">
        <v>2681</v>
      </c>
      <c r="CM7" s="9">
        <v>7.8822803045894202E-2</v>
      </c>
      <c r="CN7" s="8">
        <v>2603</v>
      </c>
      <c r="CO7" s="9">
        <v>7.7148784825133404E-2</v>
      </c>
      <c r="CP7" s="8">
        <v>2469</v>
      </c>
      <c r="CQ7" s="9">
        <v>7.41152102782697E-2</v>
      </c>
      <c r="CR7" s="8">
        <v>2520</v>
      </c>
      <c r="CS7" s="9">
        <v>7.5992883206175907E-2</v>
      </c>
      <c r="CT7" s="8">
        <v>2520</v>
      </c>
      <c r="CU7" s="9">
        <v>7.6747373229785296E-2</v>
      </c>
      <c r="CV7" s="8">
        <v>2578</v>
      </c>
      <c r="CW7" s="9">
        <v>7.9176904176904206E-2</v>
      </c>
      <c r="CX7" s="8">
        <v>2436</v>
      </c>
      <c r="CY7" s="9">
        <v>7.5301391035548698E-2</v>
      </c>
      <c r="CZ7" s="8">
        <v>2376</v>
      </c>
      <c r="DA7" s="9">
        <v>7.4335950943278203E-2</v>
      </c>
      <c r="DB7" s="8">
        <v>2432</v>
      </c>
      <c r="DC7" s="9">
        <v>7.7432501273560897E-2</v>
      </c>
      <c r="DD7" s="8">
        <v>2438</v>
      </c>
      <c r="DE7" s="9">
        <v>7.91275843043069E-2</v>
      </c>
      <c r="DF7" s="8">
        <v>2165</v>
      </c>
      <c r="DG7" s="9">
        <v>7.1086157079064904E-2</v>
      </c>
      <c r="DH7" s="8">
        <v>2262</v>
      </c>
      <c r="DI7" s="9">
        <v>7.5277047489101107E-2</v>
      </c>
      <c r="DJ7" s="8">
        <v>2181</v>
      </c>
      <c r="DK7" s="9">
        <v>7.3481351706478903E-2</v>
      </c>
      <c r="DL7" s="8">
        <v>2155</v>
      </c>
      <c r="DM7" s="9">
        <v>7.2922306442880294E-2</v>
      </c>
      <c r="DN7" s="8">
        <v>2175</v>
      </c>
      <c r="DO7" s="9">
        <v>7.43208610968734E-2</v>
      </c>
      <c r="DP7" s="8">
        <v>2087</v>
      </c>
      <c r="DQ7" s="9">
        <v>7.1747799779978E-2</v>
      </c>
      <c r="DR7" s="8">
        <v>2052</v>
      </c>
      <c r="DS7" s="9">
        <v>7.0778145695364197E-2</v>
      </c>
      <c r="DT7" s="8">
        <v>2189</v>
      </c>
      <c r="DU7" s="9">
        <v>7.5482758620689594E-2</v>
      </c>
      <c r="DV7" s="8">
        <v>2048</v>
      </c>
      <c r="DW7" s="9">
        <v>7.0825840365195694E-2</v>
      </c>
      <c r="DX7" s="8">
        <v>2012</v>
      </c>
      <c r="DY7" s="10">
        <v>6.9851409526454702E-2</v>
      </c>
      <c r="DZ7" s="72">
        <v>92</v>
      </c>
      <c r="EA7" s="73">
        <f>DZ7/D7</f>
        <v>2.6025459688826026E-3</v>
      </c>
      <c r="EB7" s="72">
        <v>-139</v>
      </c>
      <c r="EC7" s="73">
        <v>-3.9325524811859901E-3</v>
      </c>
      <c r="ED7" s="72">
        <v>-286</v>
      </c>
      <c r="EE7" s="73">
        <v>-8.1746984508088896E-3</v>
      </c>
      <c r="EF7" s="72">
        <v>-231</v>
      </c>
      <c r="EG7" s="73">
        <v>-6.6526509806180299E-3</v>
      </c>
      <c r="EH7" s="72">
        <v>88</v>
      </c>
      <c r="EI7" s="73">
        <v>2.5578421113824001E-3</v>
      </c>
      <c r="EJ7" s="72">
        <v>75</v>
      </c>
      <c r="EK7" s="73">
        <v>2.20503924969864E-3</v>
      </c>
      <c r="EL7" s="72">
        <v>5</v>
      </c>
      <c r="EM7" s="73">
        <v>1.4819205690575E-4</v>
      </c>
      <c r="EN7" s="72">
        <v>62</v>
      </c>
      <c r="EO7" s="73">
        <v>1.8611352925284399E-3</v>
      </c>
      <c r="EP7" s="72">
        <v>152</v>
      </c>
      <c r="EQ7" s="73">
        <v>4.5836977171979099E-3</v>
      </c>
      <c r="ER7" s="72">
        <v>41</v>
      </c>
      <c r="ES7" s="73">
        <v>1.24866758032587E-3</v>
      </c>
      <c r="ET7" s="72">
        <v>7</v>
      </c>
      <c r="EU7" s="73">
        <v>2.1498771498771501E-4</v>
      </c>
      <c r="EV7" s="72">
        <v>75</v>
      </c>
      <c r="EW7" s="73">
        <v>2.3183925811437402E-3</v>
      </c>
      <c r="EX7" s="72">
        <v>77</v>
      </c>
      <c r="EY7" s="73">
        <v>2.4090354472358702E-3</v>
      </c>
      <c r="EZ7" s="72">
        <v>115</v>
      </c>
      <c r="FA7" s="73">
        <v>3.6614875191034102E-3</v>
      </c>
      <c r="FB7" s="72">
        <v>112</v>
      </c>
      <c r="FC7" s="73">
        <v>3.6350653987212399E-3</v>
      </c>
      <c r="FD7" s="72">
        <v>123</v>
      </c>
      <c r="FE7" s="73">
        <v>4.0386130811662698E-3</v>
      </c>
      <c r="FF7" s="72">
        <v>143</v>
      </c>
      <c r="FG7" s="73">
        <v>4.7588938067822601E-3</v>
      </c>
      <c r="FH7" s="72">
        <v>11</v>
      </c>
      <c r="FI7" s="73">
        <v>3.7060745931740801E-4</v>
      </c>
      <c r="FJ7" s="72">
        <v>-76</v>
      </c>
      <c r="FK7" s="73">
        <v>-2.5717379534380101E-3</v>
      </c>
      <c r="FL7" s="72">
        <v>-5</v>
      </c>
      <c r="FM7" s="73">
        <v>-1.70852554245686E-4</v>
      </c>
      <c r="FN7" s="72">
        <v>113</v>
      </c>
      <c r="FO7" s="73">
        <v>3.88476347634763E-3</v>
      </c>
      <c r="FP7" s="72">
        <v>29</v>
      </c>
      <c r="FQ7" s="73">
        <v>1.0002759381898499E-3</v>
      </c>
      <c r="FR7" s="72">
        <v>-210</v>
      </c>
      <c r="FS7" s="73">
        <v>-7.2413793103448297E-3</v>
      </c>
      <c r="FT7" s="72">
        <v>-22</v>
      </c>
      <c r="FU7" s="73">
        <v>-7.6082445704800101E-4</v>
      </c>
      <c r="FV7" s="72">
        <v>8</v>
      </c>
      <c r="FW7" s="74">
        <v>2.7773920288848801E-4</v>
      </c>
      <c r="FX7" s="63">
        <v>252</v>
      </c>
      <c r="FY7" s="64">
        <f>FX7/D7</f>
        <v>7.128712871287129E-3</v>
      </c>
      <c r="FZ7" s="63">
        <v>105</v>
      </c>
      <c r="GA7" s="64">
        <v>2.9706331692412199E-3</v>
      </c>
      <c r="GB7" s="63">
        <v>559</v>
      </c>
      <c r="GC7" s="64">
        <v>1.59778196993083E-2</v>
      </c>
      <c r="GD7" s="63">
        <v>366</v>
      </c>
      <c r="GE7" s="64">
        <v>1.0540563891368799E-2</v>
      </c>
      <c r="GF7" s="63">
        <v>204</v>
      </c>
      <c r="GG7" s="64">
        <v>5.9295430763864699E-3</v>
      </c>
      <c r="GH7" s="63">
        <v>243</v>
      </c>
      <c r="GI7" s="64">
        <v>7.14432716902361E-3</v>
      </c>
      <c r="GJ7" s="63">
        <v>173</v>
      </c>
      <c r="GK7" s="64">
        <v>5.1274451689389397E-3</v>
      </c>
      <c r="GL7" s="63">
        <v>240</v>
      </c>
      <c r="GM7" s="64">
        <v>7.2043946807552597E-3</v>
      </c>
      <c r="GN7" s="63">
        <v>-47</v>
      </c>
      <c r="GO7" s="64">
        <v>-1.4173275836072499E-3</v>
      </c>
      <c r="GP7" s="63">
        <v>184</v>
      </c>
      <c r="GQ7" s="64">
        <v>5.6037764580478102E-3</v>
      </c>
      <c r="GR7" s="63">
        <v>202</v>
      </c>
      <c r="GS7" s="64">
        <v>6.2039312039312003E-3</v>
      </c>
      <c r="GT7" s="63">
        <v>55</v>
      </c>
      <c r="GU7" s="64">
        <v>1.70015455950541E-3</v>
      </c>
      <c r="GV7" s="63">
        <v>249</v>
      </c>
      <c r="GW7" s="64">
        <v>7.7902574852172796E-3</v>
      </c>
      <c r="GX7" s="63">
        <v>332</v>
      </c>
      <c r="GY7" s="64">
        <v>1.0570555272542E-2</v>
      </c>
      <c r="GZ7" s="63">
        <v>430</v>
      </c>
      <c r="HA7" s="64">
        <v>1.3956054655804699E-2</v>
      </c>
      <c r="HB7" s="63">
        <v>153</v>
      </c>
      <c r="HC7" s="64">
        <v>5.0236406619385303E-3</v>
      </c>
      <c r="HD7" s="63">
        <v>250</v>
      </c>
      <c r="HE7" s="64">
        <v>8.3197444174514992E-3</v>
      </c>
      <c r="HF7" s="63">
        <v>387</v>
      </c>
      <c r="HG7" s="64">
        <v>1.30386442505306E-2</v>
      </c>
      <c r="HH7" s="63">
        <v>178</v>
      </c>
      <c r="HI7" s="64">
        <v>6.0232809962100699E-3</v>
      </c>
      <c r="HJ7" s="63">
        <v>311</v>
      </c>
      <c r="HK7" s="64">
        <v>1.06270288740817E-2</v>
      </c>
      <c r="HL7" s="63">
        <v>91</v>
      </c>
      <c r="HM7" s="64">
        <v>3.12843784378438E-3</v>
      </c>
      <c r="HN7" s="63">
        <v>103</v>
      </c>
      <c r="HO7" s="64">
        <v>3.5527041942604899E-3</v>
      </c>
      <c r="HP7" s="63">
        <v>204</v>
      </c>
      <c r="HQ7" s="64">
        <v>7.0344827586206896E-3</v>
      </c>
      <c r="HR7" s="63">
        <v>109</v>
      </c>
      <c r="HS7" s="64">
        <v>3.7695393553741898E-3</v>
      </c>
      <c r="HT7" s="63">
        <v>163</v>
      </c>
      <c r="HU7" s="65">
        <v>5.6589362588529398E-3</v>
      </c>
    </row>
    <row r="8" spans="1:229" x14ac:dyDescent="0.3">
      <c r="A8" t="s">
        <v>11</v>
      </c>
      <c r="B8" t="s">
        <v>51</v>
      </c>
      <c r="C8" t="s">
        <v>12</v>
      </c>
      <c r="D8" s="3">
        <v>25787</v>
      </c>
      <c r="E8" s="25">
        <v>25396</v>
      </c>
      <c r="F8" s="25">
        <v>25298</v>
      </c>
      <c r="G8" s="25">
        <v>25441</v>
      </c>
      <c r="H8" s="25">
        <v>25502</v>
      </c>
      <c r="I8" s="25">
        <v>25179</v>
      </c>
      <c r="J8" s="25">
        <v>24830</v>
      </c>
      <c r="K8" s="25">
        <v>24701</v>
      </c>
      <c r="L8" s="25">
        <v>24224</v>
      </c>
      <c r="M8" s="25">
        <v>23927</v>
      </c>
      <c r="N8" s="25">
        <v>23690</v>
      </c>
      <c r="O8" s="25">
        <v>23410</v>
      </c>
      <c r="P8" s="25">
        <v>22931</v>
      </c>
      <c r="Q8" s="25">
        <v>22770</v>
      </c>
      <c r="R8" s="25">
        <v>22185</v>
      </c>
      <c r="S8" s="25">
        <v>21669</v>
      </c>
      <c r="T8" s="25">
        <v>20981</v>
      </c>
      <c r="U8" s="25">
        <v>20431</v>
      </c>
      <c r="V8" s="25">
        <v>20078</v>
      </c>
      <c r="W8" s="25">
        <v>19968</v>
      </c>
      <c r="X8" s="25">
        <v>19641</v>
      </c>
      <c r="Y8" s="25">
        <v>19478</v>
      </c>
      <c r="Z8" s="25">
        <v>19320</v>
      </c>
      <c r="AA8" s="25">
        <v>19037</v>
      </c>
      <c r="AB8" s="2">
        <v>18735</v>
      </c>
      <c r="AC8" s="1"/>
      <c r="AD8" s="4">
        <v>1717</v>
      </c>
      <c r="AE8" s="5">
        <f>AD8/D8</f>
        <v>6.6583937642998414E-2</v>
      </c>
      <c r="AF8" s="6">
        <v>1878</v>
      </c>
      <c r="AG8" s="5">
        <v>7.3948653331233294E-2</v>
      </c>
      <c r="AH8" s="6">
        <v>1842</v>
      </c>
      <c r="AI8" s="5">
        <v>7.2812080006324595E-2</v>
      </c>
      <c r="AJ8" s="6">
        <v>1767</v>
      </c>
      <c r="AK8" s="5">
        <v>6.9454817027632607E-2</v>
      </c>
      <c r="AL8" s="6">
        <v>1716</v>
      </c>
      <c r="AM8" s="5">
        <v>6.7288840090973301E-2</v>
      </c>
      <c r="AN8" s="6">
        <v>1960</v>
      </c>
      <c r="AO8" s="5">
        <v>7.7842646649986094E-2</v>
      </c>
      <c r="AP8" s="6">
        <v>2084</v>
      </c>
      <c r="AQ8" s="5">
        <v>8.3930728956906994E-2</v>
      </c>
      <c r="AR8" s="6">
        <v>1989</v>
      </c>
      <c r="AS8" s="5">
        <v>8.0523055746730895E-2</v>
      </c>
      <c r="AT8" s="6">
        <v>2271</v>
      </c>
      <c r="AU8" s="5">
        <v>9.375E-2</v>
      </c>
      <c r="AV8" s="6">
        <v>1971</v>
      </c>
      <c r="AW8" s="5">
        <v>8.23755589919338E-2</v>
      </c>
      <c r="AX8" s="6">
        <v>1912</v>
      </c>
      <c r="AY8" s="5">
        <v>8.0709159983115203E-2</v>
      </c>
      <c r="AZ8" s="6">
        <v>1933</v>
      </c>
      <c r="BA8" s="5">
        <v>8.2571550619393405E-2</v>
      </c>
      <c r="BB8" s="6">
        <v>2130</v>
      </c>
      <c r="BC8" s="5">
        <v>9.2887357725350006E-2</v>
      </c>
      <c r="BD8" s="6">
        <v>1911</v>
      </c>
      <c r="BE8" s="5">
        <v>8.3926218708827396E-2</v>
      </c>
      <c r="BF8" s="6">
        <v>2095</v>
      </c>
      <c r="BG8" s="5">
        <v>9.4433175569078195E-2</v>
      </c>
      <c r="BH8" s="6">
        <v>2017</v>
      </c>
      <c r="BI8" s="5">
        <v>9.3082283446398101E-2</v>
      </c>
      <c r="BJ8" s="6">
        <v>2117</v>
      </c>
      <c r="BK8" s="5">
        <v>0.100900815023116</v>
      </c>
      <c r="BL8" s="6">
        <v>1887</v>
      </c>
      <c r="BM8" s="5">
        <v>9.2359649552151105E-2</v>
      </c>
      <c r="BN8" s="6">
        <v>1811</v>
      </c>
      <c r="BO8" s="5">
        <v>9.0198226915031404E-2</v>
      </c>
      <c r="BP8" s="6">
        <v>1650</v>
      </c>
      <c r="BQ8" s="5">
        <v>8.2632211538461495E-2</v>
      </c>
      <c r="BR8" s="6">
        <v>1795</v>
      </c>
      <c r="BS8" s="5">
        <v>9.1390458734280297E-2</v>
      </c>
      <c r="BT8" s="6">
        <v>1650</v>
      </c>
      <c r="BU8" s="5">
        <v>8.4710955950302896E-2</v>
      </c>
      <c r="BV8" s="6">
        <v>1523</v>
      </c>
      <c r="BW8" s="5">
        <v>7.8830227743271197E-2</v>
      </c>
      <c r="BX8" s="6">
        <v>1570</v>
      </c>
      <c r="BY8" s="5">
        <v>8.2470977569995302E-2</v>
      </c>
      <c r="BZ8" s="6">
        <v>1713</v>
      </c>
      <c r="CA8" s="7">
        <v>9.1433146517213806E-2</v>
      </c>
      <c r="CB8" s="8">
        <v>1923</v>
      </c>
      <c r="CC8" s="9">
        <f>CB8/D8</f>
        <v>7.4572458990964444E-2</v>
      </c>
      <c r="CD8" s="8">
        <v>1833</v>
      </c>
      <c r="CE8" s="9">
        <v>7.2176720743424197E-2</v>
      </c>
      <c r="CF8" s="8">
        <v>2050</v>
      </c>
      <c r="CG8" s="9">
        <v>8.1034073839829204E-2</v>
      </c>
      <c r="CH8" s="8">
        <v>2106</v>
      </c>
      <c r="CI8" s="9">
        <v>8.2779764946346507E-2</v>
      </c>
      <c r="CJ8" s="8">
        <v>1924</v>
      </c>
      <c r="CK8" s="9">
        <v>7.5445063132303397E-2</v>
      </c>
      <c r="CL8" s="8">
        <v>1928</v>
      </c>
      <c r="CM8" s="9">
        <v>7.6571746296516904E-2</v>
      </c>
      <c r="CN8" s="8">
        <v>2007</v>
      </c>
      <c r="CO8" s="9">
        <v>8.0829641562625898E-2</v>
      </c>
      <c r="CP8" s="8">
        <v>2093</v>
      </c>
      <c r="CQ8" s="9">
        <v>8.4733411602769093E-2</v>
      </c>
      <c r="CR8" s="8">
        <v>2041</v>
      </c>
      <c r="CS8" s="9">
        <v>8.4255284015852E-2</v>
      </c>
      <c r="CT8" s="8">
        <v>1903</v>
      </c>
      <c r="CU8" s="9">
        <v>7.95335813098174E-2</v>
      </c>
      <c r="CV8" s="8">
        <v>1969</v>
      </c>
      <c r="CW8" s="9">
        <v>8.3115238497256202E-2</v>
      </c>
      <c r="CX8" s="8">
        <v>1929</v>
      </c>
      <c r="CY8" s="9">
        <v>8.24006834686032E-2</v>
      </c>
      <c r="CZ8" s="8">
        <v>1922</v>
      </c>
      <c r="DA8" s="9">
        <v>8.3816667393484798E-2</v>
      </c>
      <c r="DB8" s="8">
        <v>1944</v>
      </c>
      <c r="DC8" s="9">
        <v>8.5375494071146293E-2</v>
      </c>
      <c r="DD8" s="8">
        <v>1923</v>
      </c>
      <c r="DE8" s="9">
        <v>8.6680189317106193E-2</v>
      </c>
      <c r="DF8" s="8">
        <v>1813</v>
      </c>
      <c r="DG8" s="9">
        <v>8.3667912686326104E-2</v>
      </c>
      <c r="DH8" s="8">
        <v>1697</v>
      </c>
      <c r="DI8" s="9">
        <v>8.08827033983128E-2</v>
      </c>
      <c r="DJ8" s="8">
        <v>1606</v>
      </c>
      <c r="DK8" s="9">
        <v>7.8606039841417494E-2</v>
      </c>
      <c r="DL8" s="8">
        <v>1645</v>
      </c>
      <c r="DM8" s="9">
        <v>8.1930471162466406E-2</v>
      </c>
      <c r="DN8" s="8">
        <v>1677</v>
      </c>
      <c r="DO8" s="9">
        <v>8.3984375E-2</v>
      </c>
      <c r="DP8" s="8">
        <v>1595</v>
      </c>
      <c r="DQ8" s="9">
        <v>8.1207677816811805E-2</v>
      </c>
      <c r="DR8" s="8">
        <v>1597</v>
      </c>
      <c r="DS8" s="9">
        <v>8.1989937365232607E-2</v>
      </c>
      <c r="DT8" s="8">
        <v>1500</v>
      </c>
      <c r="DU8" s="9">
        <v>7.7639751552794997E-2</v>
      </c>
      <c r="DV8" s="8">
        <v>1446</v>
      </c>
      <c r="DW8" s="9">
        <v>7.5957346220517905E-2</v>
      </c>
      <c r="DX8" s="8">
        <v>1416</v>
      </c>
      <c r="DY8" s="10">
        <v>7.5580464371497194E-2</v>
      </c>
      <c r="DZ8" s="72">
        <v>-206</v>
      </c>
      <c r="EA8" s="73">
        <f>DZ8/D8</f>
        <v>-7.9885213479660294E-3</v>
      </c>
      <c r="EB8" s="72">
        <v>45</v>
      </c>
      <c r="EC8" s="73">
        <v>1.7719325878090999E-3</v>
      </c>
      <c r="ED8" s="72">
        <v>-208</v>
      </c>
      <c r="EE8" s="73">
        <v>-8.2219938335046303E-3</v>
      </c>
      <c r="EF8" s="72">
        <v>-339</v>
      </c>
      <c r="EG8" s="73">
        <v>-1.33249479187139E-2</v>
      </c>
      <c r="EH8" s="72">
        <v>-208</v>
      </c>
      <c r="EI8" s="73">
        <v>-8.1562230413300893E-3</v>
      </c>
      <c r="EJ8" s="72">
        <v>32</v>
      </c>
      <c r="EK8" s="73">
        <v>1.2709003534691599E-3</v>
      </c>
      <c r="EL8" s="72">
        <v>77</v>
      </c>
      <c r="EM8" s="73">
        <v>3.1010873942811101E-3</v>
      </c>
      <c r="EN8" s="72">
        <v>-104</v>
      </c>
      <c r="EO8" s="73">
        <v>-4.2103558560382202E-3</v>
      </c>
      <c r="EP8" s="72">
        <v>230</v>
      </c>
      <c r="EQ8" s="73">
        <v>9.4947159841479497E-3</v>
      </c>
      <c r="ER8" s="72">
        <v>68</v>
      </c>
      <c r="ES8" s="73">
        <v>2.84197768211644E-3</v>
      </c>
      <c r="ET8" s="72">
        <v>-57</v>
      </c>
      <c r="EU8" s="73">
        <v>-2.4060785141409901E-3</v>
      </c>
      <c r="EV8" s="72">
        <v>4</v>
      </c>
      <c r="EW8" s="73">
        <v>1.70867150790261E-4</v>
      </c>
      <c r="EX8" s="72">
        <v>208</v>
      </c>
      <c r="EY8" s="73">
        <v>9.0706903318651597E-3</v>
      </c>
      <c r="EZ8" s="72">
        <v>-33</v>
      </c>
      <c r="FA8" s="73">
        <v>-1.4492753623188399E-3</v>
      </c>
      <c r="FB8" s="72">
        <v>172</v>
      </c>
      <c r="FC8" s="73">
        <v>7.7529862519720499E-3</v>
      </c>
      <c r="FD8" s="72">
        <v>204</v>
      </c>
      <c r="FE8" s="73">
        <v>9.4143707600719898E-3</v>
      </c>
      <c r="FF8" s="72">
        <v>420</v>
      </c>
      <c r="FG8" s="73">
        <v>2.0018111624803402E-2</v>
      </c>
      <c r="FH8" s="72">
        <v>281</v>
      </c>
      <c r="FI8" s="73">
        <v>1.3753609710733699E-2</v>
      </c>
      <c r="FJ8" s="72">
        <v>166</v>
      </c>
      <c r="FK8" s="73">
        <v>8.2677557525649998E-3</v>
      </c>
      <c r="FL8" s="72">
        <v>-27</v>
      </c>
      <c r="FM8" s="73">
        <v>-1.35216346153846E-3</v>
      </c>
      <c r="FN8" s="72">
        <v>200</v>
      </c>
      <c r="FO8" s="73">
        <v>1.01827809174686E-2</v>
      </c>
      <c r="FP8" s="72">
        <v>53</v>
      </c>
      <c r="FQ8" s="73">
        <v>2.7210185850703398E-3</v>
      </c>
      <c r="FR8" s="72">
        <v>23</v>
      </c>
      <c r="FS8" s="73">
        <v>1.1904761904761899E-3</v>
      </c>
      <c r="FT8" s="72">
        <v>124</v>
      </c>
      <c r="FU8" s="73">
        <v>6.5136313494773296E-3</v>
      </c>
      <c r="FV8" s="72">
        <v>297</v>
      </c>
      <c r="FW8" s="74">
        <v>1.5852682145716598E-2</v>
      </c>
      <c r="FX8" s="63">
        <v>154</v>
      </c>
      <c r="FY8" s="64">
        <f>FX8/D8</f>
        <v>5.9720013960522745E-3</v>
      </c>
      <c r="FZ8" s="63">
        <v>252</v>
      </c>
      <c r="GA8" s="64">
        <v>9.9228224917309801E-3</v>
      </c>
      <c r="GB8" s="63">
        <v>260</v>
      </c>
      <c r="GC8" s="64">
        <v>1.02774922918808E-2</v>
      </c>
      <c r="GD8" s="63">
        <v>108</v>
      </c>
      <c r="GE8" s="64">
        <v>4.2451161510946899E-3</v>
      </c>
      <c r="GF8" s="63">
        <v>81</v>
      </c>
      <c r="GG8" s="64">
        <v>3.17622147282566E-3</v>
      </c>
      <c r="GH8" s="63">
        <v>138</v>
      </c>
      <c r="GI8" s="64">
        <v>5.4807577743357597E-3</v>
      </c>
      <c r="GJ8" s="63">
        <v>109</v>
      </c>
      <c r="GK8" s="64">
        <v>4.3898509867096296E-3</v>
      </c>
      <c r="GL8" s="63">
        <v>66</v>
      </c>
      <c r="GM8" s="64">
        <v>2.6719566009473302E-3</v>
      </c>
      <c r="GN8" s="63">
        <v>112</v>
      </c>
      <c r="GO8" s="64">
        <v>4.6235138705416103E-3</v>
      </c>
      <c r="GP8" s="63">
        <v>88</v>
      </c>
      <c r="GQ8" s="64">
        <v>3.6778534709742102E-3</v>
      </c>
      <c r="GR8" s="63">
        <v>124</v>
      </c>
      <c r="GS8" s="64">
        <v>5.2342760658505702E-3</v>
      </c>
      <c r="GT8" s="63">
        <v>112</v>
      </c>
      <c r="GU8" s="64">
        <v>4.7842802221273002E-3</v>
      </c>
      <c r="GV8" s="63">
        <v>125</v>
      </c>
      <c r="GW8" s="64">
        <v>5.4511360167458899E-3</v>
      </c>
      <c r="GX8" s="63">
        <v>124</v>
      </c>
      <c r="GY8" s="64">
        <v>5.4457619675011004E-3</v>
      </c>
      <c r="GZ8" s="63">
        <v>247</v>
      </c>
      <c r="HA8" s="64">
        <v>1.1133648861843599E-2</v>
      </c>
      <c r="HB8" s="63">
        <v>186</v>
      </c>
      <c r="HC8" s="64">
        <v>8.58369098712446E-3</v>
      </c>
      <c r="HD8" s="63">
        <v>204</v>
      </c>
      <c r="HE8" s="64">
        <v>9.7230827891902193E-3</v>
      </c>
      <c r="HF8" s="63">
        <v>186</v>
      </c>
      <c r="HG8" s="64">
        <v>9.1038128334393793E-3</v>
      </c>
      <c r="HH8" s="63">
        <v>136</v>
      </c>
      <c r="HI8" s="64">
        <v>6.7735830261978301E-3</v>
      </c>
      <c r="HJ8" s="63">
        <v>101</v>
      </c>
      <c r="HK8" s="64">
        <v>5.0580929487179498E-3</v>
      </c>
      <c r="HL8" s="63">
        <v>155</v>
      </c>
      <c r="HM8" s="64">
        <v>7.8916552110381306E-3</v>
      </c>
      <c r="HN8" s="63">
        <v>108</v>
      </c>
      <c r="HO8" s="64">
        <v>5.5447171167471001E-3</v>
      </c>
      <c r="HP8" s="63">
        <v>154</v>
      </c>
      <c r="HQ8" s="64">
        <v>7.9710144927536194E-3</v>
      </c>
      <c r="HR8" s="63">
        <v>180</v>
      </c>
      <c r="HS8" s="64">
        <v>9.4552713137574206E-3</v>
      </c>
      <c r="HT8" s="63">
        <v>15</v>
      </c>
      <c r="HU8" s="65">
        <v>8.00640512409928E-4</v>
      </c>
    </row>
    <row r="9" spans="1:229" x14ac:dyDescent="0.3">
      <c r="A9" t="s">
        <v>13</v>
      </c>
      <c r="B9" t="s">
        <v>52</v>
      </c>
      <c r="C9" t="s">
        <v>14</v>
      </c>
      <c r="D9" s="3">
        <v>196828</v>
      </c>
      <c r="E9" s="25">
        <v>194291</v>
      </c>
      <c r="F9" s="25">
        <v>188737</v>
      </c>
      <c r="G9" s="25">
        <v>186916</v>
      </c>
      <c r="H9" s="25">
        <v>185103</v>
      </c>
      <c r="I9" s="25">
        <v>181726</v>
      </c>
      <c r="J9" s="25">
        <v>179277</v>
      </c>
      <c r="K9" s="25">
        <v>176545</v>
      </c>
      <c r="L9" s="25">
        <v>178552</v>
      </c>
      <c r="M9" s="25">
        <v>175534</v>
      </c>
      <c r="N9" s="25">
        <v>170407</v>
      </c>
      <c r="O9" s="25">
        <v>168576</v>
      </c>
      <c r="P9" s="25">
        <v>166497</v>
      </c>
      <c r="Q9" s="25">
        <v>163210</v>
      </c>
      <c r="R9" s="25">
        <v>157673</v>
      </c>
      <c r="S9" s="25">
        <v>153377</v>
      </c>
      <c r="T9" s="25">
        <v>148283</v>
      </c>
      <c r="U9" s="25">
        <v>145917</v>
      </c>
      <c r="V9" s="25">
        <v>144784</v>
      </c>
      <c r="W9" s="25">
        <v>142853</v>
      </c>
      <c r="X9" s="25">
        <v>141312</v>
      </c>
      <c r="Y9" s="25">
        <v>139501</v>
      </c>
      <c r="Z9" s="25">
        <v>136730</v>
      </c>
      <c r="AA9" s="25">
        <v>134395</v>
      </c>
      <c r="AB9" s="2">
        <v>133859</v>
      </c>
      <c r="AC9" s="1"/>
      <c r="AD9" s="4">
        <v>14290</v>
      </c>
      <c r="AE9" s="5">
        <f>AD9/D9</f>
        <v>7.2601459141991995E-2</v>
      </c>
      <c r="AF9" s="6">
        <v>14375</v>
      </c>
      <c r="AG9" s="5">
        <v>7.3986957707768197E-2</v>
      </c>
      <c r="AH9" s="6">
        <v>14465</v>
      </c>
      <c r="AI9" s="5">
        <v>7.6641040177601594E-2</v>
      </c>
      <c r="AJ9" s="6">
        <v>14001</v>
      </c>
      <c r="AK9" s="5">
        <v>7.4905305056817001E-2</v>
      </c>
      <c r="AL9" s="6">
        <v>13121</v>
      </c>
      <c r="AM9" s="5">
        <v>7.0884858700291195E-2</v>
      </c>
      <c r="AN9" s="6">
        <v>13886</v>
      </c>
      <c r="AO9" s="5">
        <v>7.6411740752561505E-2</v>
      </c>
      <c r="AP9" s="6">
        <v>13183</v>
      </c>
      <c r="AQ9" s="5">
        <v>7.3534251465609102E-2</v>
      </c>
      <c r="AR9" s="6">
        <v>13915</v>
      </c>
      <c r="AS9" s="5">
        <v>7.8818431561358301E-2</v>
      </c>
      <c r="AT9" s="6">
        <v>12082</v>
      </c>
      <c r="AU9" s="5">
        <v>6.7666562121958901E-2</v>
      </c>
      <c r="AV9" s="6">
        <v>13042</v>
      </c>
      <c r="AW9" s="5">
        <v>7.4298996205863194E-2</v>
      </c>
      <c r="AX9" s="6">
        <v>13333</v>
      </c>
      <c r="AY9" s="5">
        <v>7.8242090993914604E-2</v>
      </c>
      <c r="AZ9" s="6">
        <v>13194</v>
      </c>
      <c r="BA9" s="5">
        <v>7.8267369020501104E-2</v>
      </c>
      <c r="BB9" s="6">
        <v>13249</v>
      </c>
      <c r="BC9" s="5">
        <v>7.9575007357489902E-2</v>
      </c>
      <c r="BD9" s="6">
        <v>12654</v>
      </c>
      <c r="BE9" s="5">
        <v>7.7532013969732194E-2</v>
      </c>
      <c r="BF9" s="6">
        <v>13040</v>
      </c>
      <c r="BG9" s="5">
        <v>8.2702808978074902E-2</v>
      </c>
      <c r="BH9" s="6">
        <v>11673</v>
      </c>
      <c r="BI9" s="5">
        <v>7.6106587037169895E-2</v>
      </c>
      <c r="BJ9" s="6">
        <v>11316</v>
      </c>
      <c r="BK9" s="5">
        <v>7.6313535604216304E-2</v>
      </c>
      <c r="BL9" s="6">
        <v>11295</v>
      </c>
      <c r="BM9" s="5">
        <v>7.7407019058780002E-2</v>
      </c>
      <c r="BN9" s="6">
        <v>11033</v>
      </c>
      <c r="BO9" s="5">
        <v>7.6203171621173599E-2</v>
      </c>
      <c r="BP9" s="6">
        <v>11003</v>
      </c>
      <c r="BQ9" s="5">
        <v>7.7023233673776503E-2</v>
      </c>
      <c r="BR9" s="6">
        <v>11338</v>
      </c>
      <c r="BS9" s="5">
        <v>8.0233808876811599E-2</v>
      </c>
      <c r="BT9" s="6">
        <v>10940</v>
      </c>
      <c r="BU9" s="5">
        <v>7.8422376900524005E-2</v>
      </c>
      <c r="BV9" s="6">
        <v>10860</v>
      </c>
      <c r="BW9" s="5">
        <v>7.9426607182037604E-2</v>
      </c>
      <c r="BX9" s="6">
        <v>10076</v>
      </c>
      <c r="BY9" s="5">
        <v>7.4973027270359802E-2</v>
      </c>
      <c r="BZ9" s="6">
        <v>9809</v>
      </c>
      <c r="CA9" s="7">
        <v>7.3278599122957699E-2</v>
      </c>
      <c r="CB9" s="8">
        <v>19410</v>
      </c>
      <c r="CC9" s="9">
        <f>CB9/D9</f>
        <v>9.8614018330725306E-2</v>
      </c>
      <c r="CD9" s="8">
        <v>19159</v>
      </c>
      <c r="CE9" s="9">
        <v>9.8609817232913496E-2</v>
      </c>
      <c r="CF9" s="8">
        <v>18588</v>
      </c>
      <c r="CG9" s="9">
        <v>9.8486253357847206E-2</v>
      </c>
      <c r="CH9" s="8">
        <v>18331</v>
      </c>
      <c r="CI9" s="9">
        <v>9.8070791157525303E-2</v>
      </c>
      <c r="CJ9" s="8">
        <v>16445</v>
      </c>
      <c r="CK9" s="9">
        <v>8.8842428269666096E-2</v>
      </c>
      <c r="CL9" s="8">
        <v>16612</v>
      </c>
      <c r="CM9" s="9">
        <v>9.1412346059452101E-2</v>
      </c>
      <c r="CN9" s="8">
        <v>15934</v>
      </c>
      <c r="CO9" s="9">
        <v>8.8879220424259706E-2</v>
      </c>
      <c r="CP9" s="8">
        <v>16149</v>
      </c>
      <c r="CQ9" s="9">
        <v>9.1472429125718693E-2</v>
      </c>
      <c r="CR9" s="8">
        <v>16752</v>
      </c>
      <c r="CS9" s="9">
        <v>9.3821407769165296E-2</v>
      </c>
      <c r="CT9" s="8">
        <v>15836</v>
      </c>
      <c r="CU9" s="9">
        <v>9.0216140462816299E-2</v>
      </c>
      <c r="CV9" s="8">
        <v>15010</v>
      </c>
      <c r="CW9" s="9">
        <v>8.8083236017299796E-2</v>
      </c>
      <c r="CX9" s="8">
        <v>15583</v>
      </c>
      <c r="CY9" s="9">
        <v>9.2439018602885406E-2</v>
      </c>
      <c r="CZ9" s="8">
        <v>16055</v>
      </c>
      <c r="DA9" s="9">
        <v>9.6428163870820496E-2</v>
      </c>
      <c r="DB9" s="8">
        <v>15335</v>
      </c>
      <c r="DC9" s="9">
        <v>9.3958703510814298E-2</v>
      </c>
      <c r="DD9" s="8">
        <v>16371</v>
      </c>
      <c r="DE9" s="9">
        <v>0.103828810259207</v>
      </c>
      <c r="DF9" s="8">
        <v>15026</v>
      </c>
      <c r="DG9" s="9">
        <v>9.7967752661742E-2</v>
      </c>
      <c r="DH9" s="8">
        <v>14454</v>
      </c>
      <c r="DI9" s="9">
        <v>9.7475772677919903E-2</v>
      </c>
      <c r="DJ9" s="8">
        <v>14244</v>
      </c>
      <c r="DK9" s="9">
        <v>9.7617138510249002E-2</v>
      </c>
      <c r="DL9" s="8">
        <v>14249</v>
      </c>
      <c r="DM9" s="9">
        <v>9.8415570781301795E-2</v>
      </c>
      <c r="DN9" s="8">
        <v>13703</v>
      </c>
      <c r="DO9" s="9">
        <v>9.5923781789671897E-2</v>
      </c>
      <c r="DP9" s="8">
        <v>13568</v>
      </c>
      <c r="DQ9" s="9">
        <v>9.6014492753623198E-2</v>
      </c>
      <c r="DR9" s="8">
        <v>12900</v>
      </c>
      <c r="DS9" s="9">
        <v>9.2472455394584999E-2</v>
      </c>
      <c r="DT9" s="8">
        <v>12367</v>
      </c>
      <c r="DU9" s="9">
        <v>9.0448328823228299E-2</v>
      </c>
      <c r="DV9" s="8">
        <v>11992</v>
      </c>
      <c r="DW9" s="9">
        <v>8.9229510026414702E-2</v>
      </c>
      <c r="DX9" s="8">
        <v>11764</v>
      </c>
      <c r="DY9" s="10">
        <v>8.7883519225453594E-2</v>
      </c>
      <c r="DZ9" s="72">
        <v>-5120</v>
      </c>
      <c r="EA9" s="73">
        <f>DZ9/D9</f>
        <v>-2.6012559188733311E-2</v>
      </c>
      <c r="EB9" s="72">
        <v>-4784</v>
      </c>
      <c r="EC9" s="73">
        <v>-2.4622859525145299E-2</v>
      </c>
      <c r="ED9" s="72">
        <v>-4123</v>
      </c>
      <c r="EE9" s="73">
        <v>-2.1845213180245501E-2</v>
      </c>
      <c r="EF9" s="72">
        <v>-4330</v>
      </c>
      <c r="EG9" s="73">
        <v>-2.3165486100708298E-2</v>
      </c>
      <c r="EH9" s="72">
        <v>-3324</v>
      </c>
      <c r="EI9" s="73">
        <v>-1.7957569569374901E-2</v>
      </c>
      <c r="EJ9" s="72">
        <v>-2726</v>
      </c>
      <c r="EK9" s="73">
        <v>-1.50006053068906E-2</v>
      </c>
      <c r="EL9" s="72">
        <v>-2751</v>
      </c>
      <c r="EM9" s="73">
        <v>-1.53449689586506E-2</v>
      </c>
      <c r="EN9" s="72">
        <v>-2234</v>
      </c>
      <c r="EO9" s="73">
        <v>-1.2653997564360401E-2</v>
      </c>
      <c r="EP9" s="72">
        <v>-4670</v>
      </c>
      <c r="EQ9" s="73">
        <v>-2.6154845647206399E-2</v>
      </c>
      <c r="ER9" s="72">
        <v>-2794</v>
      </c>
      <c r="ES9" s="73">
        <v>-1.5917144256953099E-2</v>
      </c>
      <c r="ET9" s="72">
        <v>-1677</v>
      </c>
      <c r="EU9" s="73">
        <v>-9.8411450233851904E-3</v>
      </c>
      <c r="EV9" s="72">
        <v>-2389</v>
      </c>
      <c r="EW9" s="73">
        <v>-1.41716495823842E-2</v>
      </c>
      <c r="EX9" s="72">
        <v>-2806</v>
      </c>
      <c r="EY9" s="73">
        <v>-1.6853156513330601E-2</v>
      </c>
      <c r="EZ9" s="72">
        <v>-2681</v>
      </c>
      <c r="FA9" s="73">
        <v>-1.6426689541082E-2</v>
      </c>
      <c r="FB9" s="72">
        <v>-3331</v>
      </c>
      <c r="FC9" s="73">
        <v>-2.1126001281132501E-2</v>
      </c>
      <c r="FD9" s="72">
        <v>-3353</v>
      </c>
      <c r="FE9" s="73">
        <v>-2.1861165624572101E-2</v>
      </c>
      <c r="FF9" s="72">
        <v>-3138</v>
      </c>
      <c r="FG9" s="73">
        <v>-2.11622370737037E-2</v>
      </c>
      <c r="FH9" s="72">
        <v>-2949</v>
      </c>
      <c r="FI9" s="73">
        <v>-2.0210119451469E-2</v>
      </c>
      <c r="FJ9" s="72">
        <v>-3216</v>
      </c>
      <c r="FK9" s="73">
        <v>-2.22123991601282E-2</v>
      </c>
      <c r="FL9" s="72">
        <v>-2700</v>
      </c>
      <c r="FM9" s="73">
        <v>-1.8900548115895401E-2</v>
      </c>
      <c r="FN9" s="72">
        <v>-2230</v>
      </c>
      <c r="FO9" s="73">
        <v>-1.5780683876811599E-2</v>
      </c>
      <c r="FP9" s="72">
        <v>-1960</v>
      </c>
      <c r="FQ9" s="73">
        <v>-1.4050078494060999E-2</v>
      </c>
      <c r="FR9" s="72">
        <v>-1507</v>
      </c>
      <c r="FS9" s="73">
        <v>-1.1021721641190699E-2</v>
      </c>
      <c r="FT9" s="72">
        <v>-1916</v>
      </c>
      <c r="FU9" s="73">
        <v>-1.42564827560549E-2</v>
      </c>
      <c r="FV9" s="72">
        <v>-1955</v>
      </c>
      <c r="FW9" s="74">
        <v>-1.4604920102495899E-2</v>
      </c>
      <c r="FX9" s="63">
        <v>5059</v>
      </c>
      <c r="FY9" s="64">
        <f>FX9/D9</f>
        <v>2.5702643932773793E-2</v>
      </c>
      <c r="FZ9" s="63">
        <v>5520</v>
      </c>
      <c r="GA9" s="64">
        <v>2.8410991759783E-2</v>
      </c>
      <c r="GB9" s="63">
        <v>7711</v>
      </c>
      <c r="GC9" s="64">
        <v>4.0855794041443898E-2</v>
      </c>
      <c r="GD9" s="63">
        <v>4567</v>
      </c>
      <c r="GE9" s="64">
        <v>2.4433435339938799E-2</v>
      </c>
      <c r="GF9" s="63">
        <v>3614</v>
      </c>
      <c r="GG9" s="64">
        <v>1.9524264868748701E-2</v>
      </c>
      <c r="GH9" s="63">
        <v>4400</v>
      </c>
      <c r="GI9" s="64">
        <v>2.4212275623741199E-2</v>
      </c>
      <c r="GJ9" s="63">
        <v>3614</v>
      </c>
      <c r="GK9" s="64">
        <v>2.01587487519314E-2</v>
      </c>
      <c r="GL9" s="63">
        <v>2723</v>
      </c>
      <c r="GM9" s="64">
        <v>1.54238296185109E-2</v>
      </c>
      <c r="GN9" s="63">
        <v>926</v>
      </c>
      <c r="GO9" s="64">
        <v>5.1861642546709103E-3</v>
      </c>
      <c r="GP9" s="63">
        <v>4091</v>
      </c>
      <c r="GQ9" s="64">
        <v>2.3306026182961698E-2</v>
      </c>
      <c r="GR9" s="63">
        <v>4785</v>
      </c>
      <c r="GS9" s="64">
        <v>2.8079832401251101E-2</v>
      </c>
      <c r="GT9" s="63">
        <v>1783</v>
      </c>
      <c r="GU9" s="64">
        <v>1.05768318147304E-2</v>
      </c>
      <c r="GV9" s="63">
        <v>2522</v>
      </c>
      <c r="GW9" s="64">
        <v>1.5147420073635001E-2</v>
      </c>
      <c r="GX9" s="63">
        <v>4170</v>
      </c>
      <c r="GY9" s="64">
        <v>2.5549905030329001E-2</v>
      </c>
      <c r="GZ9" s="63">
        <v>5621</v>
      </c>
      <c r="HA9" s="64">
        <v>3.5649730771914002E-2</v>
      </c>
      <c r="HB9" s="63">
        <v>5939</v>
      </c>
      <c r="HC9" s="64">
        <v>3.87215814626704E-2</v>
      </c>
      <c r="HD9" s="63">
        <v>6832</v>
      </c>
      <c r="HE9" s="64">
        <v>4.6074061085896602E-2</v>
      </c>
      <c r="HF9" s="63">
        <v>4272</v>
      </c>
      <c r="HG9" s="64">
        <v>2.9276917699788199E-2</v>
      </c>
      <c r="HH9" s="63">
        <v>2851</v>
      </c>
      <c r="HI9" s="64">
        <v>1.9691402364902199E-2</v>
      </c>
      <c r="HJ9" s="63">
        <v>3381</v>
      </c>
      <c r="HK9" s="64">
        <v>2.3667686362904498E-2</v>
      </c>
      <c r="HL9" s="63">
        <v>2533</v>
      </c>
      <c r="HM9" s="64">
        <v>1.79248754528986E-2</v>
      </c>
      <c r="HN9" s="63">
        <v>2831</v>
      </c>
      <c r="HO9" s="64">
        <v>2.0293761335044201E-2</v>
      </c>
      <c r="HP9" s="63">
        <v>3389</v>
      </c>
      <c r="HQ9" s="64">
        <v>2.4786074745849498E-2</v>
      </c>
      <c r="HR9" s="63">
        <v>3336</v>
      </c>
      <c r="HS9" s="64">
        <v>2.48223520220246E-2</v>
      </c>
      <c r="HT9" s="63">
        <v>1693</v>
      </c>
      <c r="HU9" s="65">
        <v>1.2647636692340401E-2</v>
      </c>
    </row>
    <row r="10" spans="1:229" x14ac:dyDescent="0.3">
      <c r="A10" t="s">
        <v>15</v>
      </c>
      <c r="B10" t="s">
        <v>16</v>
      </c>
      <c r="C10" t="s">
        <v>16</v>
      </c>
      <c r="D10" s="3">
        <v>49775</v>
      </c>
      <c r="E10" s="25">
        <v>49558</v>
      </c>
      <c r="F10" s="25">
        <v>48535</v>
      </c>
      <c r="G10" s="25">
        <v>48331</v>
      </c>
      <c r="H10" s="25">
        <v>48473</v>
      </c>
      <c r="I10" s="25">
        <v>48367</v>
      </c>
      <c r="J10" s="25">
        <v>47786</v>
      </c>
      <c r="K10" s="25">
        <v>47414</v>
      </c>
      <c r="L10" s="25">
        <v>47180</v>
      </c>
      <c r="M10" s="25">
        <v>46773</v>
      </c>
      <c r="N10" s="25">
        <v>46427</v>
      </c>
      <c r="O10" s="25">
        <v>46228</v>
      </c>
      <c r="P10" s="25">
        <v>45502</v>
      </c>
      <c r="Q10" s="25">
        <v>45257</v>
      </c>
      <c r="R10" s="25">
        <v>44352</v>
      </c>
      <c r="S10" s="25">
        <v>43512</v>
      </c>
      <c r="T10" s="25">
        <v>42972</v>
      </c>
      <c r="U10" s="25">
        <v>42342</v>
      </c>
      <c r="V10" s="25">
        <v>41740</v>
      </c>
      <c r="W10" s="25">
        <v>41097</v>
      </c>
      <c r="X10" s="25">
        <v>41342</v>
      </c>
      <c r="Y10" s="25">
        <v>41019</v>
      </c>
      <c r="Z10" s="25">
        <v>40378</v>
      </c>
      <c r="AA10" s="25">
        <v>39634</v>
      </c>
      <c r="AB10" s="2">
        <v>39404</v>
      </c>
      <c r="AC10" s="1"/>
      <c r="AD10" s="4">
        <v>4368</v>
      </c>
      <c r="AE10" s="5">
        <f>AD10/D10</f>
        <v>8.7754897036664989E-2</v>
      </c>
      <c r="AF10" s="6">
        <v>4507</v>
      </c>
      <c r="AG10" s="5">
        <v>9.0943944469106905E-2</v>
      </c>
      <c r="AH10" s="6">
        <v>4521</v>
      </c>
      <c r="AI10" s="5">
        <v>9.3149273719995901E-2</v>
      </c>
      <c r="AJ10" s="6">
        <v>4539</v>
      </c>
      <c r="AK10" s="5">
        <v>9.3914878649314096E-2</v>
      </c>
      <c r="AL10" s="6">
        <v>4189</v>
      </c>
      <c r="AM10" s="5">
        <v>8.6419243702679796E-2</v>
      </c>
      <c r="AN10" s="6">
        <v>4167</v>
      </c>
      <c r="AO10" s="5">
        <v>8.6153782537680607E-2</v>
      </c>
      <c r="AP10" s="6">
        <v>4373</v>
      </c>
      <c r="AQ10" s="5">
        <v>9.1512158372745206E-2</v>
      </c>
      <c r="AR10" s="6">
        <v>4324</v>
      </c>
      <c r="AS10" s="5">
        <v>9.1196692959885306E-2</v>
      </c>
      <c r="AT10" s="6">
        <v>4466</v>
      </c>
      <c r="AU10" s="5">
        <v>9.4658753709198795E-2</v>
      </c>
      <c r="AV10" s="6">
        <v>4201</v>
      </c>
      <c r="AW10" s="5">
        <v>8.9816774634939006E-2</v>
      </c>
      <c r="AX10" s="6">
        <v>4217</v>
      </c>
      <c r="AY10" s="5">
        <v>9.0830766579791902E-2</v>
      </c>
      <c r="AZ10" s="6">
        <v>4182</v>
      </c>
      <c r="BA10" s="5">
        <v>9.0464653456779398E-2</v>
      </c>
      <c r="BB10" s="6">
        <v>4255</v>
      </c>
      <c r="BC10" s="5">
        <v>9.3512373082501904E-2</v>
      </c>
      <c r="BD10" s="6">
        <v>4115</v>
      </c>
      <c r="BE10" s="5">
        <v>9.0925160748613496E-2</v>
      </c>
      <c r="BF10" s="6">
        <v>4295</v>
      </c>
      <c r="BG10" s="5">
        <v>9.6838924963925002E-2</v>
      </c>
      <c r="BH10" s="6">
        <v>3818</v>
      </c>
      <c r="BI10" s="5">
        <v>8.7745909174480594E-2</v>
      </c>
      <c r="BJ10" s="6">
        <v>3862</v>
      </c>
      <c r="BK10" s="5">
        <v>8.9872475100065199E-2</v>
      </c>
      <c r="BL10" s="6">
        <v>3734</v>
      </c>
      <c r="BM10" s="5">
        <v>8.8186670445420598E-2</v>
      </c>
      <c r="BN10" s="6">
        <v>3526</v>
      </c>
      <c r="BO10" s="5">
        <v>8.4475323430761903E-2</v>
      </c>
      <c r="BP10" s="6">
        <v>3579</v>
      </c>
      <c r="BQ10" s="5">
        <v>8.7086648660486196E-2</v>
      </c>
      <c r="BR10" s="6">
        <v>3635</v>
      </c>
      <c r="BS10" s="5">
        <v>8.7925112476416198E-2</v>
      </c>
      <c r="BT10" s="6">
        <v>3717</v>
      </c>
      <c r="BU10" s="5">
        <v>9.0616543552987594E-2</v>
      </c>
      <c r="BV10" s="6">
        <v>3276</v>
      </c>
      <c r="BW10" s="5">
        <v>8.1133290405666497E-2</v>
      </c>
      <c r="BX10" s="6">
        <v>3351</v>
      </c>
      <c r="BY10" s="5">
        <v>8.4548619871827199E-2</v>
      </c>
      <c r="BZ10" s="6">
        <v>3395</v>
      </c>
      <c r="CA10" s="7">
        <v>8.6158765607552507E-2</v>
      </c>
      <c r="CB10" s="8">
        <v>5367</v>
      </c>
      <c r="CC10" s="9">
        <f>CB10/D10</f>
        <v>0.10782521346057258</v>
      </c>
      <c r="CD10" s="8">
        <v>5772</v>
      </c>
      <c r="CE10" s="9">
        <v>0.11646959118608501</v>
      </c>
      <c r="CF10" s="8">
        <v>5508</v>
      </c>
      <c r="CG10" s="9">
        <v>0.113485113835377</v>
      </c>
      <c r="CH10" s="8">
        <v>5646</v>
      </c>
      <c r="CI10" s="9">
        <v>0.11681943266226601</v>
      </c>
      <c r="CJ10" s="8">
        <v>5305</v>
      </c>
      <c r="CK10" s="9">
        <v>0.109442369979164</v>
      </c>
      <c r="CL10" s="8">
        <v>5181</v>
      </c>
      <c r="CM10" s="9">
        <v>0.107118489879463</v>
      </c>
      <c r="CN10" s="8">
        <v>5200</v>
      </c>
      <c r="CO10" s="9">
        <v>0.10881848240070301</v>
      </c>
      <c r="CP10" s="8">
        <v>5063</v>
      </c>
      <c r="CQ10" s="9">
        <v>0.106782806765934</v>
      </c>
      <c r="CR10" s="8">
        <v>5138</v>
      </c>
      <c r="CS10" s="9">
        <v>0.108902077151335</v>
      </c>
      <c r="CT10" s="8">
        <v>5130</v>
      </c>
      <c r="CU10" s="9">
        <v>0.109678660765826</v>
      </c>
      <c r="CV10" s="8">
        <v>5102</v>
      </c>
      <c r="CW10" s="9">
        <v>0.109892950222931</v>
      </c>
      <c r="CX10" s="8">
        <v>4893</v>
      </c>
      <c r="CY10" s="9">
        <v>0.10584494245911601</v>
      </c>
      <c r="CZ10" s="8">
        <v>4885</v>
      </c>
      <c r="DA10" s="9">
        <v>0.10735791833326</v>
      </c>
      <c r="DB10" s="8">
        <v>4897</v>
      </c>
      <c r="DC10" s="9">
        <v>0.10820425569525199</v>
      </c>
      <c r="DD10" s="8">
        <v>5098</v>
      </c>
      <c r="DE10" s="9">
        <v>0.114944083694084</v>
      </c>
      <c r="DF10" s="8">
        <v>4439</v>
      </c>
      <c r="DG10" s="9">
        <v>0.102017834160691</v>
      </c>
      <c r="DH10" s="8">
        <v>4726</v>
      </c>
      <c r="DI10" s="9">
        <v>0.10997859071023</v>
      </c>
      <c r="DJ10" s="8">
        <v>4733</v>
      </c>
      <c r="DK10" s="9">
        <v>0.111780265457465</v>
      </c>
      <c r="DL10" s="8">
        <v>4626</v>
      </c>
      <c r="DM10" s="9">
        <v>0.110828941063728</v>
      </c>
      <c r="DN10" s="8">
        <v>4436</v>
      </c>
      <c r="DO10" s="9">
        <v>0.10793975229335501</v>
      </c>
      <c r="DP10" s="8">
        <v>4443</v>
      </c>
      <c r="DQ10" s="9">
        <v>0.10746940157708899</v>
      </c>
      <c r="DR10" s="8">
        <v>4394</v>
      </c>
      <c r="DS10" s="9">
        <v>0.10712109022648</v>
      </c>
      <c r="DT10" s="8">
        <v>3906</v>
      </c>
      <c r="DU10" s="9">
        <v>9.6735846252909999E-2</v>
      </c>
      <c r="DV10" s="8">
        <v>3912</v>
      </c>
      <c r="DW10" s="9">
        <v>9.87031336731089E-2</v>
      </c>
      <c r="DX10" s="8">
        <v>3826</v>
      </c>
      <c r="DY10" s="10">
        <v>9.7096741447568802E-2</v>
      </c>
      <c r="DZ10" s="72">
        <v>-999</v>
      </c>
      <c r="EA10" s="73">
        <f>DZ10/D10</f>
        <v>-2.0070316423907584E-2</v>
      </c>
      <c r="EB10" s="72">
        <v>-1265</v>
      </c>
      <c r="EC10" s="73">
        <v>-2.5525646716978101E-2</v>
      </c>
      <c r="ED10" s="72">
        <v>-987</v>
      </c>
      <c r="EE10" s="73">
        <v>-2.0335840115380699E-2</v>
      </c>
      <c r="EF10" s="72">
        <v>-1107</v>
      </c>
      <c r="EG10" s="73">
        <v>-2.29045540129523E-2</v>
      </c>
      <c r="EH10" s="72">
        <v>-1116</v>
      </c>
      <c r="EI10" s="73">
        <v>-2.3023126276483799E-2</v>
      </c>
      <c r="EJ10" s="72">
        <v>-1014</v>
      </c>
      <c r="EK10" s="73">
        <v>-2.0964707341782601E-2</v>
      </c>
      <c r="EL10" s="72">
        <v>-827</v>
      </c>
      <c r="EM10" s="73">
        <v>-1.7306324027957998E-2</v>
      </c>
      <c r="EN10" s="72">
        <v>-739</v>
      </c>
      <c r="EO10" s="73">
        <v>-1.5586113806048799E-2</v>
      </c>
      <c r="EP10" s="72">
        <v>-672</v>
      </c>
      <c r="EQ10" s="73">
        <v>-1.42433234421365E-2</v>
      </c>
      <c r="ER10" s="72">
        <v>-929</v>
      </c>
      <c r="ES10" s="73">
        <v>-1.9861886130887501E-2</v>
      </c>
      <c r="ET10" s="72">
        <v>-885</v>
      </c>
      <c r="EU10" s="73">
        <v>-1.9062183643138698E-2</v>
      </c>
      <c r="EV10" s="72">
        <v>-711</v>
      </c>
      <c r="EW10" s="73">
        <v>-1.5380289002336201E-2</v>
      </c>
      <c r="EX10" s="72">
        <v>-630</v>
      </c>
      <c r="EY10" s="73">
        <v>-1.38455452507582E-2</v>
      </c>
      <c r="EZ10" s="72">
        <v>-782</v>
      </c>
      <c r="FA10" s="73">
        <v>-1.72790949466381E-2</v>
      </c>
      <c r="FB10" s="72">
        <v>-803</v>
      </c>
      <c r="FC10" s="73">
        <v>-1.8105158730158701E-2</v>
      </c>
      <c r="FD10" s="72">
        <v>-621</v>
      </c>
      <c r="FE10" s="73">
        <v>-1.42719249862107E-2</v>
      </c>
      <c r="FF10" s="72">
        <v>-864</v>
      </c>
      <c r="FG10" s="73">
        <v>-2.0106115610164801E-2</v>
      </c>
      <c r="FH10" s="72">
        <v>-999</v>
      </c>
      <c r="FI10" s="73">
        <v>-2.3593595012044801E-2</v>
      </c>
      <c r="FJ10" s="72">
        <v>-1100</v>
      </c>
      <c r="FK10" s="73">
        <v>-2.6353617632965998E-2</v>
      </c>
      <c r="FL10" s="72">
        <v>-857</v>
      </c>
      <c r="FM10" s="73">
        <v>-2.0853103632868599E-2</v>
      </c>
      <c r="FN10" s="72">
        <v>-808</v>
      </c>
      <c r="FO10" s="73">
        <v>-1.95442891006724E-2</v>
      </c>
      <c r="FP10" s="72">
        <v>-677</v>
      </c>
      <c r="FQ10" s="73">
        <v>-1.6504546673492802E-2</v>
      </c>
      <c r="FR10" s="72">
        <v>-630</v>
      </c>
      <c r="FS10" s="73">
        <v>-1.56025558472435E-2</v>
      </c>
      <c r="FT10" s="72">
        <v>-561</v>
      </c>
      <c r="FU10" s="73">
        <v>-1.4154513801281699E-2</v>
      </c>
      <c r="FV10" s="72">
        <v>-431</v>
      </c>
      <c r="FW10" s="74">
        <v>-1.09379758400162E-2</v>
      </c>
      <c r="FX10" s="63">
        <v>316</v>
      </c>
      <c r="FY10" s="64">
        <f>FX10/D10</f>
        <v>6.34856855851331E-3</v>
      </c>
      <c r="FZ10" s="63">
        <v>1261</v>
      </c>
      <c r="GA10" s="64">
        <v>2.5444933209572598E-2</v>
      </c>
      <c r="GB10" s="63">
        <v>1891</v>
      </c>
      <c r="GC10" s="64">
        <v>3.8961574121767803E-2</v>
      </c>
      <c r="GD10" s="63">
        <v>1049</v>
      </c>
      <c r="GE10" s="64">
        <v>2.1704496079121099E-2</v>
      </c>
      <c r="GF10" s="63">
        <v>735</v>
      </c>
      <c r="GG10" s="64">
        <v>1.51630804777918E-2</v>
      </c>
      <c r="GH10" s="63">
        <v>836</v>
      </c>
      <c r="GI10" s="64">
        <v>1.7284512167386901E-2</v>
      </c>
      <c r="GJ10" s="63">
        <v>1047</v>
      </c>
      <c r="GK10" s="64">
        <v>2.1910182898757E-2</v>
      </c>
      <c r="GL10" s="63">
        <v>869</v>
      </c>
      <c r="GM10" s="64">
        <v>1.8327920023621699E-2</v>
      </c>
      <c r="GN10" s="63">
        <v>596</v>
      </c>
      <c r="GO10" s="64">
        <v>1.2632471386180601E-2</v>
      </c>
      <c r="GP10" s="63">
        <v>975</v>
      </c>
      <c r="GQ10" s="64">
        <v>2.0845359502276999E-2</v>
      </c>
      <c r="GR10" s="63">
        <v>891</v>
      </c>
      <c r="GS10" s="64">
        <v>1.9191418786481999E-2</v>
      </c>
      <c r="GT10" s="63">
        <v>591</v>
      </c>
      <c r="GU10" s="64">
        <v>1.27844596348533E-2</v>
      </c>
      <c r="GV10" s="63">
        <v>1081</v>
      </c>
      <c r="GW10" s="64">
        <v>2.3757197485824801E-2</v>
      </c>
      <c r="GX10" s="63">
        <v>686</v>
      </c>
      <c r="GY10" s="64">
        <v>1.5157876129659501E-2</v>
      </c>
      <c r="GZ10" s="63">
        <v>1273</v>
      </c>
      <c r="HA10" s="64">
        <v>2.87022005772006E-2</v>
      </c>
      <c r="HB10" s="63">
        <v>1109</v>
      </c>
      <c r="HC10" s="64">
        <v>2.54872219157933E-2</v>
      </c>
      <c r="HD10" s="63">
        <v>1079</v>
      </c>
      <c r="HE10" s="64">
        <v>2.5109373545564601E-2</v>
      </c>
      <c r="HF10" s="63">
        <v>1376</v>
      </c>
      <c r="HG10" s="64">
        <v>3.2497284020594201E-2</v>
      </c>
      <c r="HH10" s="63">
        <v>1423</v>
      </c>
      <c r="HI10" s="64">
        <v>3.40919980833733E-2</v>
      </c>
      <c r="HJ10" s="63">
        <v>1302</v>
      </c>
      <c r="HK10" s="64">
        <v>3.1681144609095602E-2</v>
      </c>
      <c r="HL10" s="63">
        <v>434</v>
      </c>
      <c r="HM10" s="64">
        <v>1.04977988486285E-2</v>
      </c>
      <c r="HN10" s="63">
        <v>874</v>
      </c>
      <c r="HO10" s="64">
        <v>2.13071991028548E-2</v>
      </c>
      <c r="HP10" s="63">
        <v>1015</v>
      </c>
      <c r="HQ10" s="64">
        <v>2.5137451087225701E-2</v>
      </c>
      <c r="HR10" s="63">
        <v>1145</v>
      </c>
      <c r="HS10" s="64">
        <v>2.8889337437553599E-2</v>
      </c>
      <c r="HT10" s="63">
        <v>308</v>
      </c>
      <c r="HU10" s="65">
        <v>7.8164653334686796E-3</v>
      </c>
    </row>
    <row r="11" spans="1:229" x14ac:dyDescent="0.3">
      <c r="A11" t="s">
        <v>17</v>
      </c>
      <c r="B11" t="s">
        <v>18</v>
      </c>
      <c r="C11" t="s">
        <v>18</v>
      </c>
      <c r="D11" s="3">
        <v>45234</v>
      </c>
      <c r="E11" s="25">
        <v>44255</v>
      </c>
      <c r="F11" s="25">
        <v>43608</v>
      </c>
      <c r="G11" s="25">
        <v>43061</v>
      </c>
      <c r="H11" s="25">
        <v>42656</v>
      </c>
      <c r="I11" s="25">
        <v>41763</v>
      </c>
      <c r="J11" s="25">
        <v>41131</v>
      </c>
      <c r="K11" s="25">
        <v>40394</v>
      </c>
      <c r="L11" s="25">
        <v>39556</v>
      </c>
      <c r="M11" s="25">
        <v>38448</v>
      </c>
      <c r="N11" s="25">
        <v>37957</v>
      </c>
      <c r="O11" s="25">
        <v>37364</v>
      </c>
      <c r="P11" s="25">
        <v>37009</v>
      </c>
      <c r="Q11" s="25">
        <v>36492</v>
      </c>
      <c r="R11" s="25">
        <v>35803</v>
      </c>
      <c r="S11" s="25">
        <v>35372</v>
      </c>
      <c r="T11" s="25">
        <v>34706</v>
      </c>
      <c r="U11" s="25">
        <v>34128</v>
      </c>
      <c r="V11" s="25">
        <v>33462</v>
      </c>
      <c r="W11" s="25">
        <v>33069</v>
      </c>
      <c r="X11" s="25">
        <v>32718</v>
      </c>
      <c r="Y11" s="25">
        <v>32703</v>
      </c>
      <c r="Z11" s="25">
        <v>32089</v>
      </c>
      <c r="AA11" s="25">
        <v>31610</v>
      </c>
      <c r="AB11" s="2">
        <v>31348</v>
      </c>
      <c r="AC11" s="1"/>
      <c r="AD11" s="4">
        <v>3413</v>
      </c>
      <c r="AE11" s="5">
        <f>AD11/D11</f>
        <v>7.5452093557943134E-2</v>
      </c>
      <c r="AF11" s="6">
        <v>3160</v>
      </c>
      <c r="AG11" s="5">
        <v>7.1404361089142498E-2</v>
      </c>
      <c r="AH11" s="6">
        <v>3288</v>
      </c>
      <c r="AI11" s="5">
        <v>7.5399009356081501E-2</v>
      </c>
      <c r="AJ11" s="6">
        <v>3300</v>
      </c>
      <c r="AK11" s="5">
        <v>7.6635470611458201E-2</v>
      </c>
      <c r="AL11" s="6">
        <v>3037</v>
      </c>
      <c r="AM11" s="5">
        <v>7.1197486871717897E-2</v>
      </c>
      <c r="AN11" s="6">
        <v>3313</v>
      </c>
      <c r="AO11" s="5">
        <v>7.9328592294614794E-2</v>
      </c>
      <c r="AP11" s="6">
        <v>2997</v>
      </c>
      <c r="AQ11" s="5">
        <v>7.28647492159199E-2</v>
      </c>
      <c r="AR11" s="6">
        <v>3177</v>
      </c>
      <c r="AS11" s="5">
        <v>7.8650294598207701E-2</v>
      </c>
      <c r="AT11" s="6">
        <v>3202</v>
      </c>
      <c r="AU11" s="5">
        <v>8.0948528668217196E-2</v>
      </c>
      <c r="AV11" s="6">
        <v>3243</v>
      </c>
      <c r="AW11" s="5">
        <v>8.43476903870162E-2</v>
      </c>
      <c r="AX11" s="6">
        <v>2966</v>
      </c>
      <c r="AY11" s="5">
        <v>7.8141054350976097E-2</v>
      </c>
      <c r="AZ11" s="6">
        <v>2846</v>
      </c>
      <c r="BA11" s="5">
        <v>7.6169574991970898E-2</v>
      </c>
      <c r="BB11" s="6">
        <v>2821</v>
      </c>
      <c r="BC11" s="5">
        <v>7.6224702099489297E-2</v>
      </c>
      <c r="BD11" s="6">
        <v>2764</v>
      </c>
      <c r="BE11" s="5">
        <v>7.5742628521319702E-2</v>
      </c>
      <c r="BF11" s="6">
        <v>2944</v>
      </c>
      <c r="BG11" s="5">
        <v>8.2227746278244807E-2</v>
      </c>
      <c r="BH11" s="6">
        <v>2546</v>
      </c>
      <c r="BI11" s="5">
        <v>7.19778355761619E-2</v>
      </c>
      <c r="BJ11" s="6">
        <v>2806</v>
      </c>
      <c r="BK11" s="5">
        <v>8.0850573387886801E-2</v>
      </c>
      <c r="BL11" s="6">
        <v>2758</v>
      </c>
      <c r="BM11" s="5">
        <v>8.0813408345053905E-2</v>
      </c>
      <c r="BN11" s="6">
        <v>2658</v>
      </c>
      <c r="BO11" s="5">
        <v>7.9433387125694796E-2</v>
      </c>
      <c r="BP11" s="6">
        <v>2569</v>
      </c>
      <c r="BQ11" s="5">
        <v>7.76860503795095E-2</v>
      </c>
      <c r="BR11" s="6">
        <v>2540</v>
      </c>
      <c r="BS11" s="5">
        <v>7.7633107158139203E-2</v>
      </c>
      <c r="BT11" s="6">
        <v>2608</v>
      </c>
      <c r="BU11" s="5">
        <v>7.9748035348438995E-2</v>
      </c>
      <c r="BV11" s="6">
        <v>2506</v>
      </c>
      <c r="BW11" s="5">
        <v>7.80952974539562E-2</v>
      </c>
      <c r="BX11" s="6">
        <v>2239</v>
      </c>
      <c r="BY11" s="5">
        <v>7.0832015185068001E-2</v>
      </c>
      <c r="BZ11" s="6">
        <v>2256</v>
      </c>
      <c r="CA11" s="7">
        <v>7.1966313640423593E-2</v>
      </c>
      <c r="CB11" s="8">
        <v>3290</v>
      </c>
      <c r="CC11" s="9">
        <f>CB11/D11</f>
        <v>7.2732900030950176E-2</v>
      </c>
      <c r="CD11" s="8">
        <v>3326</v>
      </c>
      <c r="CE11" s="9">
        <v>7.5155349678002498E-2</v>
      </c>
      <c r="CF11" s="8">
        <v>3374</v>
      </c>
      <c r="CG11" s="9">
        <v>7.7371124564300106E-2</v>
      </c>
      <c r="CH11" s="8">
        <v>3318</v>
      </c>
      <c r="CI11" s="9">
        <v>7.7053482269338794E-2</v>
      </c>
      <c r="CJ11" s="8">
        <v>2997</v>
      </c>
      <c r="CK11" s="9">
        <v>7.0259752438109502E-2</v>
      </c>
      <c r="CL11" s="8">
        <v>3209</v>
      </c>
      <c r="CM11" s="9">
        <v>7.6838349735411704E-2</v>
      </c>
      <c r="CN11" s="8">
        <v>3001</v>
      </c>
      <c r="CO11" s="9">
        <v>7.2961999465123606E-2</v>
      </c>
      <c r="CP11" s="8">
        <v>3047</v>
      </c>
      <c r="CQ11" s="9">
        <v>7.5431994850720399E-2</v>
      </c>
      <c r="CR11" s="8">
        <v>2915</v>
      </c>
      <c r="CS11" s="9">
        <v>7.3692992213570604E-2</v>
      </c>
      <c r="CT11" s="8">
        <v>2699</v>
      </c>
      <c r="CU11" s="9">
        <v>7.0198709945900994E-2</v>
      </c>
      <c r="CV11" s="8">
        <v>2926</v>
      </c>
      <c r="CW11" s="9">
        <v>7.7087230286903605E-2</v>
      </c>
      <c r="CX11" s="8">
        <v>2786</v>
      </c>
      <c r="CY11" s="9">
        <v>7.4563751204367798E-2</v>
      </c>
      <c r="CZ11" s="8">
        <v>2988</v>
      </c>
      <c r="DA11" s="9">
        <v>8.0737117998324698E-2</v>
      </c>
      <c r="DB11" s="8">
        <v>2987</v>
      </c>
      <c r="DC11" s="9">
        <v>8.1853556943987701E-2</v>
      </c>
      <c r="DD11" s="8">
        <v>3005</v>
      </c>
      <c r="DE11" s="9">
        <v>8.3931514118928602E-2</v>
      </c>
      <c r="DF11" s="8">
        <v>2771</v>
      </c>
      <c r="DG11" s="9">
        <v>7.8338799050096095E-2</v>
      </c>
      <c r="DH11" s="8">
        <v>2865</v>
      </c>
      <c r="DI11" s="9">
        <v>8.2550567625194499E-2</v>
      </c>
      <c r="DJ11" s="8">
        <v>2790</v>
      </c>
      <c r="DK11" s="9">
        <v>8.1751054852320704E-2</v>
      </c>
      <c r="DL11" s="8">
        <v>2653</v>
      </c>
      <c r="DM11" s="9">
        <v>7.9283963899348497E-2</v>
      </c>
      <c r="DN11" s="8">
        <v>2678</v>
      </c>
      <c r="DO11" s="9">
        <v>8.0982188756841794E-2</v>
      </c>
      <c r="DP11" s="8">
        <v>2583</v>
      </c>
      <c r="DQ11" s="9">
        <v>7.8947368421052599E-2</v>
      </c>
      <c r="DR11" s="8">
        <v>2859</v>
      </c>
      <c r="DS11" s="9">
        <v>8.7423172186037998E-2</v>
      </c>
      <c r="DT11" s="8">
        <v>2309</v>
      </c>
      <c r="DU11" s="9">
        <v>7.1956122035588502E-2</v>
      </c>
      <c r="DV11" s="8">
        <v>2195</v>
      </c>
      <c r="DW11" s="9">
        <v>6.9440050616893401E-2</v>
      </c>
      <c r="DX11" s="8">
        <v>2133</v>
      </c>
      <c r="DY11" s="10">
        <v>6.8042618348857997E-2</v>
      </c>
      <c r="DZ11" s="72">
        <v>123</v>
      </c>
      <c r="EA11" s="73">
        <f>DZ11/D11</f>
        <v>2.7191935269929701E-3</v>
      </c>
      <c r="EB11" s="72">
        <v>-166</v>
      </c>
      <c r="EC11" s="73">
        <v>-3.75098858886002E-3</v>
      </c>
      <c r="ED11" s="72">
        <v>-86</v>
      </c>
      <c r="EE11" s="73">
        <v>-1.9721152082186801E-3</v>
      </c>
      <c r="EF11" s="72">
        <v>-18</v>
      </c>
      <c r="EG11" s="73">
        <v>-4.1801165788068101E-4</v>
      </c>
      <c r="EH11" s="72">
        <v>40</v>
      </c>
      <c r="EI11" s="73">
        <v>9.3773443360840197E-4</v>
      </c>
      <c r="EJ11" s="72">
        <v>104</v>
      </c>
      <c r="EK11" s="73">
        <v>2.4902425592031202E-3</v>
      </c>
      <c r="EL11" s="72">
        <v>-4</v>
      </c>
      <c r="EM11" s="73">
        <v>-9.7250249203763601E-5</v>
      </c>
      <c r="EN11" s="72">
        <v>130</v>
      </c>
      <c r="EO11" s="73">
        <v>3.21829974748725E-3</v>
      </c>
      <c r="EP11" s="72">
        <v>287</v>
      </c>
      <c r="EQ11" s="73">
        <v>7.2555364546465799E-3</v>
      </c>
      <c r="ER11" s="72">
        <v>544</v>
      </c>
      <c r="ES11" s="73">
        <v>1.4148980441115301E-2</v>
      </c>
      <c r="ET11" s="72">
        <v>40</v>
      </c>
      <c r="EU11" s="73">
        <v>1.0538240640725E-3</v>
      </c>
      <c r="EV11" s="72">
        <v>60</v>
      </c>
      <c r="EW11" s="73">
        <v>1.60582378760304E-3</v>
      </c>
      <c r="EX11" s="72">
        <v>-167</v>
      </c>
      <c r="EY11" s="73">
        <v>-4.5124158988354198E-3</v>
      </c>
      <c r="EZ11" s="72">
        <v>-223</v>
      </c>
      <c r="FA11" s="73">
        <v>-6.1109284226679803E-3</v>
      </c>
      <c r="FB11" s="72">
        <v>-61</v>
      </c>
      <c r="FC11" s="73">
        <v>-1.70376784068374E-3</v>
      </c>
      <c r="FD11" s="72">
        <v>-225</v>
      </c>
      <c r="FE11" s="73">
        <v>-6.3609634739341904E-3</v>
      </c>
      <c r="FF11" s="72">
        <v>-59</v>
      </c>
      <c r="FG11" s="73">
        <v>-1.6999942373076701E-3</v>
      </c>
      <c r="FH11" s="72">
        <v>-32</v>
      </c>
      <c r="FI11" s="73">
        <v>-9.3764650726676005E-4</v>
      </c>
      <c r="FJ11" s="72">
        <v>5</v>
      </c>
      <c r="FK11" s="73">
        <v>1.4942322634630301E-4</v>
      </c>
      <c r="FL11" s="72">
        <v>-109</v>
      </c>
      <c r="FM11" s="73">
        <v>-3.2961383773322402E-3</v>
      </c>
      <c r="FN11" s="72">
        <v>-43</v>
      </c>
      <c r="FO11" s="73">
        <v>-1.31426126291338E-3</v>
      </c>
      <c r="FP11" s="72">
        <v>-251</v>
      </c>
      <c r="FQ11" s="73">
        <v>-7.6751368375989996E-3</v>
      </c>
      <c r="FR11" s="72">
        <v>197</v>
      </c>
      <c r="FS11" s="73">
        <v>6.1391754183676697E-3</v>
      </c>
      <c r="FT11" s="72">
        <v>44</v>
      </c>
      <c r="FU11" s="73">
        <v>1.39196456817463E-3</v>
      </c>
      <c r="FV11" s="72">
        <v>123</v>
      </c>
      <c r="FW11" s="74">
        <v>3.9236952915656497E-3</v>
      </c>
      <c r="FX11" s="63">
        <v>534</v>
      </c>
      <c r="FY11" s="64">
        <f>FX11/D11</f>
        <v>1.1805279214749966E-2</v>
      </c>
      <c r="FZ11" s="63">
        <v>1053</v>
      </c>
      <c r="GA11" s="64">
        <v>2.3793921590780701E-2</v>
      </c>
      <c r="GB11" s="63">
        <v>717</v>
      </c>
      <c r="GC11" s="64">
        <v>1.6441937259218501E-2</v>
      </c>
      <c r="GD11" s="63">
        <v>511</v>
      </c>
      <c r="GE11" s="64">
        <v>1.18668865098349E-2</v>
      </c>
      <c r="GF11" s="63">
        <v>355</v>
      </c>
      <c r="GG11" s="64">
        <v>8.3223930982745699E-3</v>
      </c>
      <c r="GH11" s="63">
        <v>703</v>
      </c>
      <c r="GI11" s="64">
        <v>1.6833081914613399E-2</v>
      </c>
      <c r="GJ11" s="63">
        <v>525</v>
      </c>
      <c r="GK11" s="64">
        <v>1.2764095207994E-2</v>
      </c>
      <c r="GL11" s="63">
        <v>512</v>
      </c>
      <c r="GM11" s="64">
        <v>1.2675149774718999E-2</v>
      </c>
      <c r="GN11" s="63">
        <v>375</v>
      </c>
      <c r="GO11" s="64">
        <v>9.4802305592072006E-3</v>
      </c>
      <c r="GP11" s="63">
        <v>501</v>
      </c>
      <c r="GQ11" s="64">
        <v>1.3030586766541801E-2</v>
      </c>
      <c r="GR11" s="63">
        <v>287</v>
      </c>
      <c r="GS11" s="64">
        <v>7.5611876597202103E-3</v>
      </c>
      <c r="GT11" s="63">
        <v>362</v>
      </c>
      <c r="GU11" s="64">
        <v>9.6884701852050104E-3</v>
      </c>
      <c r="GV11" s="63">
        <v>407</v>
      </c>
      <c r="GW11" s="64">
        <v>1.0997324975006099E-2</v>
      </c>
      <c r="GX11" s="63">
        <v>541</v>
      </c>
      <c r="GY11" s="64">
        <v>1.48251671599255E-2</v>
      </c>
      <c r="GZ11" s="63">
        <v>557</v>
      </c>
      <c r="HA11" s="64">
        <v>1.55573555288663E-2</v>
      </c>
      <c r="HB11" s="63">
        <v>462</v>
      </c>
      <c r="HC11" s="64">
        <v>1.30611783331449E-2</v>
      </c>
      <c r="HD11" s="63">
        <v>609</v>
      </c>
      <c r="HE11" s="64">
        <v>1.7547398144413098E-2</v>
      </c>
      <c r="HF11" s="63">
        <v>514</v>
      </c>
      <c r="HG11" s="64">
        <v>1.5060947022972299E-2</v>
      </c>
      <c r="HH11" s="63">
        <v>505</v>
      </c>
      <c r="HI11" s="64">
        <v>1.5091745860976599E-2</v>
      </c>
      <c r="HJ11" s="63">
        <v>433</v>
      </c>
      <c r="HK11" s="64">
        <v>1.3093834104448299E-2</v>
      </c>
      <c r="HL11" s="63">
        <v>327</v>
      </c>
      <c r="HM11" s="64">
        <v>9.9944984412250106E-3</v>
      </c>
      <c r="HN11" s="63">
        <v>249</v>
      </c>
      <c r="HO11" s="64">
        <v>7.6139803687735102E-3</v>
      </c>
      <c r="HP11" s="63">
        <v>341</v>
      </c>
      <c r="HQ11" s="64">
        <v>1.0626694505905501E-2</v>
      </c>
      <c r="HR11" s="63">
        <v>350</v>
      </c>
      <c r="HS11" s="64">
        <v>1.1072445428661801E-2</v>
      </c>
      <c r="HT11" s="63">
        <v>58</v>
      </c>
      <c r="HU11" s="65">
        <v>1.8501977797626601E-3</v>
      </c>
    </row>
    <row r="12" spans="1:229" x14ac:dyDescent="0.3">
      <c r="A12" t="s">
        <v>19</v>
      </c>
      <c r="B12" t="s">
        <v>53</v>
      </c>
      <c r="C12" t="s">
        <v>20</v>
      </c>
      <c r="D12" s="3">
        <v>58044</v>
      </c>
      <c r="E12" s="25">
        <v>57724</v>
      </c>
      <c r="F12" s="25">
        <v>56616</v>
      </c>
      <c r="G12" s="25">
        <v>56281</v>
      </c>
      <c r="H12" s="25">
        <v>56581</v>
      </c>
      <c r="I12" s="25">
        <v>56289</v>
      </c>
      <c r="J12" s="25">
        <v>56008</v>
      </c>
      <c r="K12" s="25">
        <v>55746</v>
      </c>
      <c r="L12" s="25">
        <v>55613</v>
      </c>
      <c r="M12" s="25">
        <v>55012</v>
      </c>
      <c r="N12" s="25">
        <v>54524</v>
      </c>
      <c r="O12" s="25">
        <v>54024</v>
      </c>
      <c r="P12" s="25">
        <v>53312</v>
      </c>
      <c r="Q12" s="25">
        <v>51838</v>
      </c>
      <c r="R12" s="25">
        <v>50258</v>
      </c>
      <c r="S12" s="25">
        <v>49757</v>
      </c>
      <c r="T12" s="25">
        <v>48849</v>
      </c>
      <c r="U12" s="25">
        <v>48284</v>
      </c>
      <c r="V12" s="25">
        <v>47719</v>
      </c>
      <c r="W12" s="25">
        <v>47555</v>
      </c>
      <c r="X12" s="25">
        <v>47426</v>
      </c>
      <c r="Y12" s="25">
        <v>47313</v>
      </c>
      <c r="Z12" s="25">
        <v>46812</v>
      </c>
      <c r="AA12" s="25">
        <v>46048</v>
      </c>
      <c r="AB12" s="2">
        <v>45555</v>
      </c>
      <c r="AC12" s="1"/>
      <c r="AD12" s="4">
        <v>4541</v>
      </c>
      <c r="AE12" s="5">
        <f>AD12/D12</f>
        <v>7.8233753704086556E-2</v>
      </c>
      <c r="AF12" s="6">
        <v>4327</v>
      </c>
      <c r="AG12" s="5">
        <v>7.49601552213984E-2</v>
      </c>
      <c r="AH12" s="6">
        <v>4883</v>
      </c>
      <c r="AI12" s="5">
        <v>8.6247703829306202E-2</v>
      </c>
      <c r="AJ12" s="6">
        <v>4563</v>
      </c>
      <c r="AK12" s="5">
        <v>8.1075318491142703E-2</v>
      </c>
      <c r="AL12" s="6">
        <v>3794</v>
      </c>
      <c r="AM12" s="5">
        <v>6.7054311518000703E-2</v>
      </c>
      <c r="AN12" s="6">
        <v>4500</v>
      </c>
      <c r="AO12" s="5">
        <v>7.9944571763577194E-2</v>
      </c>
      <c r="AP12" s="6">
        <v>4373</v>
      </c>
      <c r="AQ12" s="5">
        <v>7.8078131695472106E-2</v>
      </c>
      <c r="AR12" s="6">
        <v>4549</v>
      </c>
      <c r="AS12" s="5">
        <v>8.1602267427259401E-2</v>
      </c>
      <c r="AT12" s="6">
        <v>4423</v>
      </c>
      <c r="AU12" s="5">
        <v>7.95317641558628E-2</v>
      </c>
      <c r="AV12" s="6">
        <v>4525</v>
      </c>
      <c r="AW12" s="5">
        <v>8.2254780775103606E-2</v>
      </c>
      <c r="AX12" s="6">
        <v>4549</v>
      </c>
      <c r="AY12" s="5">
        <v>8.34311495855036E-2</v>
      </c>
      <c r="AZ12" s="6">
        <v>4643</v>
      </c>
      <c r="BA12" s="5">
        <v>8.59432844661632E-2</v>
      </c>
      <c r="BB12" s="6">
        <v>4922</v>
      </c>
      <c r="BC12" s="5">
        <v>9.23244297719088E-2</v>
      </c>
      <c r="BD12" s="6">
        <v>4799</v>
      </c>
      <c r="BE12" s="5">
        <v>9.2576874107797399E-2</v>
      </c>
      <c r="BF12" s="6">
        <v>4593</v>
      </c>
      <c r="BG12" s="5">
        <v>9.1388435671932805E-2</v>
      </c>
      <c r="BH12" s="6">
        <v>4049</v>
      </c>
      <c r="BI12" s="5">
        <v>8.13754848564021E-2</v>
      </c>
      <c r="BJ12" s="6">
        <v>4144</v>
      </c>
      <c r="BK12" s="5">
        <v>8.4832852259002195E-2</v>
      </c>
      <c r="BL12" s="6">
        <v>4095</v>
      </c>
      <c r="BM12" s="5">
        <v>8.4810703338580096E-2</v>
      </c>
      <c r="BN12" s="6">
        <v>4112</v>
      </c>
      <c r="BO12" s="5">
        <v>8.6171126804836601E-2</v>
      </c>
      <c r="BP12" s="6">
        <v>3912</v>
      </c>
      <c r="BQ12" s="5">
        <v>8.2262643255178194E-2</v>
      </c>
      <c r="BR12" s="6">
        <v>3822</v>
      </c>
      <c r="BS12" s="5">
        <v>8.0588706616623804E-2</v>
      </c>
      <c r="BT12" s="6">
        <v>3725</v>
      </c>
      <c r="BU12" s="5">
        <v>7.8731004163760498E-2</v>
      </c>
      <c r="BV12" s="6">
        <v>3887</v>
      </c>
      <c r="BW12" s="5">
        <v>8.3034264718448297E-2</v>
      </c>
      <c r="BX12" s="6">
        <v>3745</v>
      </c>
      <c r="BY12" s="5">
        <v>8.1328179291174404E-2</v>
      </c>
      <c r="BZ12" s="6">
        <v>3717</v>
      </c>
      <c r="CA12" s="7">
        <v>8.1593677971682599E-2</v>
      </c>
      <c r="CB12" s="8">
        <v>4793</v>
      </c>
      <c r="CC12" s="9">
        <f>CB12/D12</f>
        <v>8.2575287712769618E-2</v>
      </c>
      <c r="CD12" s="8">
        <v>5021</v>
      </c>
      <c r="CE12" s="9">
        <v>8.6982884069018093E-2</v>
      </c>
      <c r="CF12" s="8">
        <v>5112</v>
      </c>
      <c r="CG12" s="9">
        <v>9.0292496820686699E-2</v>
      </c>
      <c r="CH12" s="8">
        <v>5093</v>
      </c>
      <c r="CI12" s="9">
        <v>9.0492350882180494E-2</v>
      </c>
      <c r="CJ12" s="8">
        <v>4874</v>
      </c>
      <c r="CK12" s="9">
        <v>8.6141991127763703E-2</v>
      </c>
      <c r="CL12" s="8">
        <v>5320</v>
      </c>
      <c r="CM12" s="9">
        <v>9.4512249284940203E-2</v>
      </c>
      <c r="CN12" s="8">
        <v>5269</v>
      </c>
      <c r="CO12" s="9">
        <v>9.4075846307670297E-2</v>
      </c>
      <c r="CP12" s="8">
        <v>5281</v>
      </c>
      <c r="CQ12" s="9">
        <v>9.47332544039034E-2</v>
      </c>
      <c r="CR12" s="8">
        <v>5129</v>
      </c>
      <c r="CS12" s="9">
        <v>9.2226637656663002E-2</v>
      </c>
      <c r="CT12" s="8">
        <v>5109</v>
      </c>
      <c r="CU12" s="9">
        <v>9.2870646404420901E-2</v>
      </c>
      <c r="CV12" s="8">
        <v>5090</v>
      </c>
      <c r="CW12" s="9">
        <v>9.3353385665028196E-2</v>
      </c>
      <c r="CX12" s="8">
        <v>5114</v>
      </c>
      <c r="CY12" s="9">
        <v>9.4661631867318199E-2</v>
      </c>
      <c r="CZ12" s="8">
        <v>5258</v>
      </c>
      <c r="DA12" s="9">
        <v>9.8626950780312098E-2</v>
      </c>
      <c r="DB12" s="8">
        <v>5028</v>
      </c>
      <c r="DC12" s="9">
        <v>9.6994482811836896E-2</v>
      </c>
      <c r="DD12" s="8">
        <v>5076</v>
      </c>
      <c r="DE12" s="9">
        <v>0.100998845954873</v>
      </c>
      <c r="DF12" s="8">
        <v>4742</v>
      </c>
      <c r="DG12" s="9">
        <v>9.5303173422834994E-2</v>
      </c>
      <c r="DH12" s="8">
        <v>4694</v>
      </c>
      <c r="DI12" s="9">
        <v>9.6092038731601506E-2</v>
      </c>
      <c r="DJ12" s="8">
        <v>4630</v>
      </c>
      <c r="DK12" s="9">
        <v>9.5890978377930605E-2</v>
      </c>
      <c r="DL12" s="8">
        <v>4777</v>
      </c>
      <c r="DM12" s="9">
        <v>0.10010687566797299</v>
      </c>
      <c r="DN12" s="8">
        <v>4580</v>
      </c>
      <c r="DO12" s="9">
        <v>9.6309536326358997E-2</v>
      </c>
      <c r="DP12" s="8">
        <v>4431</v>
      </c>
      <c r="DQ12" s="9">
        <v>9.34297642643276E-2</v>
      </c>
      <c r="DR12" s="8">
        <v>4366</v>
      </c>
      <c r="DS12" s="9">
        <v>9.2279077631940501E-2</v>
      </c>
      <c r="DT12" s="8">
        <v>4033</v>
      </c>
      <c r="DU12" s="9">
        <v>8.6153123130821199E-2</v>
      </c>
      <c r="DV12" s="8">
        <v>3948</v>
      </c>
      <c r="DW12" s="9">
        <v>8.57366226546213E-2</v>
      </c>
      <c r="DX12" s="8">
        <v>3748</v>
      </c>
      <c r="DY12" s="10">
        <v>8.2274174075293596E-2</v>
      </c>
      <c r="DZ12" s="72">
        <v>-252</v>
      </c>
      <c r="EA12" s="73">
        <f>DZ12/D12</f>
        <v>-4.3415340086830683E-3</v>
      </c>
      <c r="EB12" s="72">
        <v>-694</v>
      </c>
      <c r="EC12" s="73">
        <v>-1.20227288476197E-2</v>
      </c>
      <c r="ED12" s="72">
        <v>-229</v>
      </c>
      <c r="EE12" s="73">
        <v>-4.0447929913805299E-3</v>
      </c>
      <c r="EF12" s="72">
        <v>-530</v>
      </c>
      <c r="EG12" s="73">
        <v>-9.4170323910378294E-3</v>
      </c>
      <c r="EH12" s="72">
        <v>-1080</v>
      </c>
      <c r="EI12" s="73">
        <v>-1.9087679609763E-2</v>
      </c>
      <c r="EJ12" s="72">
        <v>-820</v>
      </c>
      <c r="EK12" s="73">
        <v>-1.4567677521363001E-2</v>
      </c>
      <c r="EL12" s="72">
        <v>-896</v>
      </c>
      <c r="EM12" s="73">
        <v>-1.5997714612198299E-2</v>
      </c>
      <c r="EN12" s="72">
        <v>-732</v>
      </c>
      <c r="EO12" s="73">
        <v>-1.31309869766441E-2</v>
      </c>
      <c r="EP12" s="72">
        <v>-706</v>
      </c>
      <c r="EQ12" s="73">
        <v>-1.2694873500800201E-2</v>
      </c>
      <c r="ER12" s="72">
        <v>-584</v>
      </c>
      <c r="ES12" s="73">
        <v>-1.0615865629317199E-2</v>
      </c>
      <c r="ET12" s="72">
        <v>-541</v>
      </c>
      <c r="EU12" s="73">
        <v>-9.9222360795246101E-3</v>
      </c>
      <c r="EV12" s="72">
        <v>-471</v>
      </c>
      <c r="EW12" s="73">
        <v>-8.7183474011550393E-3</v>
      </c>
      <c r="EX12" s="72">
        <v>-336</v>
      </c>
      <c r="EY12" s="73">
        <v>-6.3025210084033598E-3</v>
      </c>
      <c r="EZ12" s="72">
        <v>-229</v>
      </c>
      <c r="FA12" s="73">
        <v>-4.4176087040395098E-3</v>
      </c>
      <c r="FB12" s="72">
        <v>-483</v>
      </c>
      <c r="FC12" s="73">
        <v>-9.6104102829400306E-3</v>
      </c>
      <c r="FD12" s="72">
        <v>-693</v>
      </c>
      <c r="FE12" s="73">
        <v>-1.3927688566432899E-2</v>
      </c>
      <c r="FF12" s="72">
        <v>-550</v>
      </c>
      <c r="FG12" s="73">
        <v>-1.12591864725992E-2</v>
      </c>
      <c r="FH12" s="72">
        <v>-535</v>
      </c>
      <c r="FI12" s="73">
        <v>-1.1080275039350501E-2</v>
      </c>
      <c r="FJ12" s="72">
        <v>-665</v>
      </c>
      <c r="FK12" s="73">
        <v>-1.39357488631363E-2</v>
      </c>
      <c r="FL12" s="72">
        <v>-668</v>
      </c>
      <c r="FM12" s="73">
        <v>-1.40468930711807E-2</v>
      </c>
      <c r="FN12" s="72">
        <v>-609</v>
      </c>
      <c r="FO12" s="73">
        <v>-1.28410576477038E-2</v>
      </c>
      <c r="FP12" s="72">
        <v>-641</v>
      </c>
      <c r="FQ12" s="73">
        <v>-1.3548073468180001E-2</v>
      </c>
      <c r="FR12" s="72">
        <v>-146</v>
      </c>
      <c r="FS12" s="73">
        <v>-3.1188584123729001E-3</v>
      </c>
      <c r="FT12" s="72">
        <v>-203</v>
      </c>
      <c r="FU12" s="73">
        <v>-4.4084433634468401E-3</v>
      </c>
      <c r="FV12" s="72">
        <v>-31</v>
      </c>
      <c r="FW12" s="74">
        <v>-6.8049610361101999E-4</v>
      </c>
      <c r="FX12" s="63">
        <v>635</v>
      </c>
      <c r="FY12" s="64">
        <f>FX12/D12</f>
        <v>1.0939976569499001E-2</v>
      </c>
      <c r="FZ12" s="63">
        <v>731</v>
      </c>
      <c r="GA12" s="64">
        <v>1.2663710068602301E-2</v>
      </c>
      <c r="GB12" s="63">
        <v>1061</v>
      </c>
      <c r="GC12" s="64">
        <v>1.87402854316801E-2</v>
      </c>
      <c r="GD12" s="63">
        <v>513</v>
      </c>
      <c r="GE12" s="64">
        <v>9.1149766350988801E-3</v>
      </c>
      <c r="GF12" s="63">
        <v>502</v>
      </c>
      <c r="GG12" s="64">
        <v>8.8722362630565006E-3</v>
      </c>
      <c r="GH12" s="63">
        <v>642</v>
      </c>
      <c r="GI12" s="64">
        <v>1.14054255716037E-2</v>
      </c>
      <c r="GJ12" s="63">
        <v>713</v>
      </c>
      <c r="GK12" s="64">
        <v>1.27303242393944E-2</v>
      </c>
      <c r="GL12" s="63">
        <v>541</v>
      </c>
      <c r="GM12" s="64">
        <v>9.7047321780935007E-3</v>
      </c>
      <c r="GN12" s="63">
        <v>363</v>
      </c>
      <c r="GO12" s="64">
        <v>6.5272508226493801E-3</v>
      </c>
      <c r="GP12" s="63">
        <v>676</v>
      </c>
      <c r="GQ12" s="64">
        <v>1.2288228022976799E-2</v>
      </c>
      <c r="GR12" s="63">
        <v>544</v>
      </c>
      <c r="GS12" s="64">
        <v>9.9772577213704094E-3</v>
      </c>
      <c r="GT12" s="63">
        <v>542</v>
      </c>
      <c r="GU12" s="64">
        <v>1.00325781134311E-2</v>
      </c>
      <c r="GV12" s="63">
        <v>512</v>
      </c>
      <c r="GW12" s="64">
        <v>9.6038415366146504E-3</v>
      </c>
      <c r="GX12" s="63">
        <v>1245</v>
      </c>
      <c r="GY12" s="64">
        <v>2.4017130290520501E-2</v>
      </c>
      <c r="GZ12" s="63">
        <v>1285</v>
      </c>
      <c r="HA12" s="64">
        <v>2.55680687651717E-2</v>
      </c>
      <c r="HB12" s="63">
        <v>738</v>
      </c>
      <c r="HC12" s="64">
        <v>1.4832083927889501E-2</v>
      </c>
      <c r="HD12" s="63">
        <v>964</v>
      </c>
      <c r="HE12" s="64">
        <v>1.9734283199246701E-2</v>
      </c>
      <c r="HF12" s="63">
        <v>772</v>
      </c>
      <c r="HG12" s="64">
        <v>1.5988733327810499E-2</v>
      </c>
      <c r="HH12" s="63">
        <v>804</v>
      </c>
      <c r="HI12" s="64">
        <v>1.6848634715731701E-2</v>
      </c>
      <c r="HJ12" s="63">
        <v>377</v>
      </c>
      <c r="HK12" s="64">
        <v>7.9276627063400301E-3</v>
      </c>
      <c r="HL12" s="63">
        <v>412</v>
      </c>
      <c r="HM12" s="64">
        <v>8.6872179816978E-3</v>
      </c>
      <c r="HN12" s="63">
        <v>400</v>
      </c>
      <c r="HO12" s="64">
        <v>8.45433601758502E-3</v>
      </c>
      <c r="HP12" s="63">
        <v>432</v>
      </c>
      <c r="HQ12" s="64">
        <v>9.2284029735965108E-3</v>
      </c>
      <c r="HR12" s="63">
        <v>660</v>
      </c>
      <c r="HS12" s="64">
        <v>1.43328700486449E-2</v>
      </c>
      <c r="HT12" s="63">
        <v>273</v>
      </c>
      <c r="HU12" s="65">
        <v>5.99275600921962E-3</v>
      </c>
    </row>
    <row r="13" spans="1:229" x14ac:dyDescent="0.3">
      <c r="A13" t="s">
        <v>21</v>
      </c>
      <c r="B13" t="s">
        <v>22</v>
      </c>
      <c r="C13" t="s">
        <v>22</v>
      </c>
      <c r="D13" s="3">
        <v>25564</v>
      </c>
      <c r="E13" s="25">
        <v>25548</v>
      </c>
      <c r="F13" s="25">
        <v>25252</v>
      </c>
      <c r="G13" s="25">
        <v>25189</v>
      </c>
      <c r="H13" s="25">
        <v>25234</v>
      </c>
      <c r="I13" s="25">
        <v>24902</v>
      </c>
      <c r="J13" s="25">
        <v>24865</v>
      </c>
      <c r="K13" s="25">
        <v>24596</v>
      </c>
      <c r="L13" s="25">
        <v>24269</v>
      </c>
      <c r="M13" s="25">
        <v>24066</v>
      </c>
      <c r="N13" s="25">
        <v>23836</v>
      </c>
      <c r="O13" s="25">
        <v>23664</v>
      </c>
      <c r="P13" s="25">
        <v>23383</v>
      </c>
      <c r="Q13" s="25">
        <v>23059</v>
      </c>
      <c r="R13" s="25">
        <v>22589</v>
      </c>
      <c r="S13" s="25">
        <v>22160</v>
      </c>
      <c r="T13" s="25">
        <v>21731</v>
      </c>
      <c r="U13" s="25">
        <v>21395</v>
      </c>
      <c r="V13" s="25">
        <v>20970</v>
      </c>
      <c r="W13" s="25">
        <v>20609</v>
      </c>
      <c r="X13" s="25">
        <v>20492</v>
      </c>
      <c r="Y13" s="25">
        <v>20247</v>
      </c>
      <c r="Z13" s="25">
        <v>20034</v>
      </c>
      <c r="AA13" s="25">
        <v>19861</v>
      </c>
      <c r="AB13" s="2">
        <v>19757</v>
      </c>
      <c r="AC13" s="1"/>
      <c r="AD13" s="4">
        <v>1814</v>
      </c>
      <c r="AE13" s="5">
        <f>AD13/D13</f>
        <v>7.0959161320607103E-2</v>
      </c>
      <c r="AF13" s="6">
        <v>1783</v>
      </c>
      <c r="AG13" s="5">
        <v>6.9790198841396603E-2</v>
      </c>
      <c r="AH13" s="6">
        <v>1845</v>
      </c>
      <c r="AI13" s="5">
        <v>7.3063519721210196E-2</v>
      </c>
      <c r="AJ13" s="6">
        <v>1753</v>
      </c>
      <c r="AK13" s="5">
        <v>6.9593870340227904E-2</v>
      </c>
      <c r="AL13" s="6">
        <v>1738</v>
      </c>
      <c r="AM13" s="5">
        <v>6.8875326939843107E-2</v>
      </c>
      <c r="AN13" s="6">
        <v>2098</v>
      </c>
      <c r="AO13" s="5">
        <v>8.4250261023210996E-2</v>
      </c>
      <c r="AP13" s="6">
        <v>1969</v>
      </c>
      <c r="AQ13" s="5">
        <v>7.9187613110798305E-2</v>
      </c>
      <c r="AR13" s="6">
        <v>2080</v>
      </c>
      <c r="AS13" s="5">
        <v>8.4566596194503199E-2</v>
      </c>
      <c r="AT13" s="6">
        <v>2074</v>
      </c>
      <c r="AU13" s="5">
        <v>8.5458815773208602E-2</v>
      </c>
      <c r="AV13" s="6">
        <v>1940</v>
      </c>
      <c r="AW13" s="5">
        <v>8.0611651292279596E-2</v>
      </c>
      <c r="AX13" s="6">
        <v>1925</v>
      </c>
      <c r="AY13" s="5">
        <v>8.0760194663534193E-2</v>
      </c>
      <c r="AZ13" s="6">
        <v>2062</v>
      </c>
      <c r="BA13" s="5">
        <v>8.7136578769438797E-2</v>
      </c>
      <c r="BB13" s="6">
        <v>2083</v>
      </c>
      <c r="BC13" s="5">
        <v>8.9081811572509897E-2</v>
      </c>
      <c r="BD13" s="6">
        <v>2015</v>
      </c>
      <c r="BE13" s="5">
        <v>8.7384535322433801E-2</v>
      </c>
      <c r="BF13" s="6">
        <v>2273</v>
      </c>
      <c r="BG13" s="5">
        <v>0.10062419761831</v>
      </c>
      <c r="BH13" s="6">
        <v>2019</v>
      </c>
      <c r="BI13" s="5">
        <v>9.1110108303249102E-2</v>
      </c>
      <c r="BJ13" s="6">
        <v>2121</v>
      </c>
      <c r="BK13" s="5">
        <v>9.7602503336247801E-2</v>
      </c>
      <c r="BL13" s="6">
        <v>2077</v>
      </c>
      <c r="BM13" s="5">
        <v>9.7078756718859502E-2</v>
      </c>
      <c r="BN13" s="6">
        <v>1922</v>
      </c>
      <c r="BO13" s="5">
        <v>9.1654744873628999E-2</v>
      </c>
      <c r="BP13" s="6">
        <v>1983</v>
      </c>
      <c r="BQ13" s="5">
        <v>9.6220098015430106E-2</v>
      </c>
      <c r="BR13" s="6">
        <v>1817</v>
      </c>
      <c r="BS13" s="5">
        <v>8.86687487800117E-2</v>
      </c>
      <c r="BT13" s="6">
        <v>1897</v>
      </c>
      <c r="BU13" s="5">
        <v>9.3692892774238201E-2</v>
      </c>
      <c r="BV13" s="6">
        <v>1758</v>
      </c>
      <c r="BW13" s="5">
        <v>8.7750823599880207E-2</v>
      </c>
      <c r="BX13" s="6">
        <v>1516</v>
      </c>
      <c r="BY13" s="5">
        <v>7.6330496953829097E-2</v>
      </c>
      <c r="BZ13" s="6">
        <v>1675</v>
      </c>
      <c r="CA13" s="7">
        <v>8.4780077947056706E-2</v>
      </c>
      <c r="CB13" s="8">
        <v>1935</v>
      </c>
      <c r="CC13" s="9">
        <f>CB13/D13</f>
        <v>7.5692379909247376E-2</v>
      </c>
      <c r="CD13" s="8">
        <v>2021</v>
      </c>
      <c r="CE13" s="9">
        <v>7.9105996555503405E-2</v>
      </c>
      <c r="CF13" s="8">
        <v>2141</v>
      </c>
      <c r="CG13" s="9">
        <v>8.47853635355615E-2</v>
      </c>
      <c r="CH13" s="8">
        <v>2006</v>
      </c>
      <c r="CI13" s="9">
        <v>7.9637937194807301E-2</v>
      </c>
      <c r="CJ13" s="8">
        <v>2019</v>
      </c>
      <c r="CK13" s="9">
        <v>8.0011096140128399E-2</v>
      </c>
      <c r="CL13" s="8">
        <v>2224</v>
      </c>
      <c r="CM13" s="9">
        <v>8.9310095574652595E-2</v>
      </c>
      <c r="CN13" s="8">
        <v>2319</v>
      </c>
      <c r="CO13" s="9">
        <v>9.3263623567263199E-2</v>
      </c>
      <c r="CP13" s="8">
        <v>2243</v>
      </c>
      <c r="CQ13" s="9">
        <v>9.1193690030899305E-2</v>
      </c>
      <c r="CR13" s="8">
        <v>2063</v>
      </c>
      <c r="CS13" s="9">
        <v>8.5005562651942798E-2</v>
      </c>
      <c r="CT13" s="8">
        <v>2068</v>
      </c>
      <c r="CU13" s="9">
        <v>8.5930358181667096E-2</v>
      </c>
      <c r="CV13" s="8">
        <v>2013</v>
      </c>
      <c r="CW13" s="9">
        <v>8.4452089276724304E-2</v>
      </c>
      <c r="CX13" s="8">
        <v>2090</v>
      </c>
      <c r="CY13" s="9">
        <v>8.8319810682893907E-2</v>
      </c>
      <c r="CZ13" s="8">
        <v>2140</v>
      </c>
      <c r="DA13" s="9">
        <v>9.15194799640765E-2</v>
      </c>
      <c r="DB13" s="8">
        <v>2030</v>
      </c>
      <c r="DC13" s="9">
        <v>8.8035040548159096E-2</v>
      </c>
      <c r="DD13" s="8">
        <v>2128</v>
      </c>
      <c r="DE13" s="9">
        <v>9.4205144096684207E-2</v>
      </c>
      <c r="DF13" s="8">
        <v>1970</v>
      </c>
      <c r="DG13" s="9">
        <v>8.8898916967508998E-2</v>
      </c>
      <c r="DH13" s="8">
        <v>2045</v>
      </c>
      <c r="DI13" s="9">
        <v>9.4105195343058307E-2</v>
      </c>
      <c r="DJ13" s="8">
        <v>1982</v>
      </c>
      <c r="DK13" s="9">
        <v>9.2638466931526095E-2</v>
      </c>
      <c r="DL13" s="8">
        <v>1780</v>
      </c>
      <c r="DM13" s="9">
        <v>8.4883166428230794E-2</v>
      </c>
      <c r="DN13" s="8">
        <v>1746</v>
      </c>
      <c r="DO13" s="9">
        <v>8.4720267844145797E-2</v>
      </c>
      <c r="DP13" s="8">
        <v>1731</v>
      </c>
      <c r="DQ13" s="9">
        <v>8.4471989068904907E-2</v>
      </c>
      <c r="DR13" s="8">
        <v>1681</v>
      </c>
      <c r="DS13" s="9">
        <v>8.30246456265126E-2</v>
      </c>
      <c r="DT13" s="8">
        <v>1493</v>
      </c>
      <c r="DU13" s="9">
        <v>7.4523310372366994E-2</v>
      </c>
      <c r="DV13" s="8">
        <v>1328</v>
      </c>
      <c r="DW13" s="9">
        <v>6.68647097326419E-2</v>
      </c>
      <c r="DX13" s="8">
        <v>1473</v>
      </c>
      <c r="DY13" s="10">
        <v>7.4555853621501203E-2</v>
      </c>
      <c r="DZ13" s="72">
        <v>-121</v>
      </c>
      <c r="EA13" s="73">
        <f>DZ13/D13</f>
        <v>-4.7332185886402754E-3</v>
      </c>
      <c r="EB13" s="72">
        <v>-238</v>
      </c>
      <c r="EC13" s="73">
        <v>-9.3157977141067796E-3</v>
      </c>
      <c r="ED13" s="72">
        <v>-296</v>
      </c>
      <c r="EE13" s="73">
        <v>-1.1721843814351301E-2</v>
      </c>
      <c r="EF13" s="72">
        <v>-253</v>
      </c>
      <c r="EG13" s="73">
        <v>-1.0044066854579399E-2</v>
      </c>
      <c r="EH13" s="72">
        <v>-281</v>
      </c>
      <c r="EI13" s="73">
        <v>-1.1135769200285301E-2</v>
      </c>
      <c r="EJ13" s="72">
        <v>-126</v>
      </c>
      <c r="EK13" s="73">
        <v>-5.0598345514416502E-3</v>
      </c>
      <c r="EL13" s="72">
        <v>-350</v>
      </c>
      <c r="EM13" s="73">
        <v>-1.4076010456464901E-2</v>
      </c>
      <c r="EN13" s="72">
        <v>-163</v>
      </c>
      <c r="EO13" s="73">
        <v>-6.6270938363961604E-3</v>
      </c>
      <c r="EP13" s="72">
        <v>11</v>
      </c>
      <c r="EQ13" s="73">
        <v>4.5325312126581199E-4</v>
      </c>
      <c r="ER13" s="72">
        <v>-128</v>
      </c>
      <c r="ES13" s="73">
        <v>-5.3187068893875197E-3</v>
      </c>
      <c r="ET13" s="72">
        <v>-88</v>
      </c>
      <c r="EU13" s="73">
        <v>-3.69189461319013E-3</v>
      </c>
      <c r="EV13" s="72">
        <v>-28</v>
      </c>
      <c r="EW13" s="73">
        <v>-1.18323191345504E-3</v>
      </c>
      <c r="EX13" s="72">
        <v>-57</v>
      </c>
      <c r="EY13" s="73">
        <v>-2.4376683915665201E-3</v>
      </c>
      <c r="EZ13" s="72">
        <v>-15</v>
      </c>
      <c r="FA13" s="73">
        <v>-6.5050522572531301E-4</v>
      </c>
      <c r="FB13" s="72">
        <v>145</v>
      </c>
      <c r="FC13" s="73">
        <v>6.4190535216255701E-3</v>
      </c>
      <c r="FD13" s="72">
        <v>49</v>
      </c>
      <c r="FE13" s="73">
        <v>2.2111913357400698E-3</v>
      </c>
      <c r="FF13" s="72">
        <v>76</v>
      </c>
      <c r="FG13" s="73">
        <v>3.4973079931894498E-3</v>
      </c>
      <c r="FH13" s="72">
        <v>95</v>
      </c>
      <c r="FI13" s="73">
        <v>4.4402897873334901E-3</v>
      </c>
      <c r="FJ13" s="72">
        <v>142</v>
      </c>
      <c r="FK13" s="73">
        <v>6.77157844539819E-3</v>
      </c>
      <c r="FL13" s="72">
        <v>237</v>
      </c>
      <c r="FM13" s="73">
        <v>1.1499830171284401E-2</v>
      </c>
      <c r="FN13" s="72">
        <v>86</v>
      </c>
      <c r="FO13" s="73">
        <v>4.1967597111067702E-3</v>
      </c>
      <c r="FP13" s="72">
        <v>216</v>
      </c>
      <c r="FQ13" s="73">
        <v>1.06682471477256E-2</v>
      </c>
      <c r="FR13" s="72">
        <v>265</v>
      </c>
      <c r="FS13" s="73">
        <v>1.3227513227513201E-2</v>
      </c>
      <c r="FT13" s="72">
        <v>188</v>
      </c>
      <c r="FU13" s="73">
        <v>9.4657872211872506E-3</v>
      </c>
      <c r="FV13" s="72">
        <v>202</v>
      </c>
      <c r="FW13" s="74">
        <v>1.02242243255555E-2</v>
      </c>
      <c r="FX13" s="63">
        <v>151</v>
      </c>
      <c r="FY13" s="64">
        <f>FX13/D13</f>
        <v>5.9067438585510878E-3</v>
      </c>
      <c r="FZ13" s="63">
        <v>184</v>
      </c>
      <c r="GA13" s="64">
        <v>7.2021293251918004E-3</v>
      </c>
      <c r="GB13" s="63">
        <v>519</v>
      </c>
      <c r="GC13" s="64">
        <v>2.0552827498812001E-2</v>
      </c>
      <c r="GD13" s="63">
        <v>280</v>
      </c>
      <c r="GE13" s="64">
        <v>1.1115963317321099E-2</v>
      </c>
      <c r="GF13" s="63">
        <v>148</v>
      </c>
      <c r="GG13" s="64">
        <v>5.8651026392961903E-3</v>
      </c>
      <c r="GH13" s="63">
        <v>262</v>
      </c>
      <c r="GI13" s="64">
        <v>1.0521243273632601E-2</v>
      </c>
      <c r="GJ13" s="63">
        <v>266</v>
      </c>
      <c r="GK13" s="64">
        <v>1.06977679469133E-2</v>
      </c>
      <c r="GL13" s="63">
        <v>301</v>
      </c>
      <c r="GM13" s="64">
        <v>1.22377622377622E-2</v>
      </c>
      <c r="GN13" s="63">
        <v>216</v>
      </c>
      <c r="GO13" s="64">
        <v>8.9002431084923093E-3</v>
      </c>
      <c r="GP13" s="63">
        <v>250</v>
      </c>
      <c r="GQ13" s="64">
        <v>1.0388099393335E-2</v>
      </c>
      <c r="GR13" s="63">
        <v>153</v>
      </c>
      <c r="GS13" s="64">
        <v>6.4188622252055703E-3</v>
      </c>
      <c r="GT13" s="63">
        <v>116</v>
      </c>
      <c r="GU13" s="64">
        <v>4.9019607843137298E-3</v>
      </c>
      <c r="GV13" s="63">
        <v>220</v>
      </c>
      <c r="GW13" s="64">
        <v>9.4085446692041205E-3</v>
      </c>
      <c r="GX13" s="63">
        <v>242</v>
      </c>
      <c r="GY13" s="64">
        <v>1.04948176417017E-2</v>
      </c>
      <c r="GZ13" s="63">
        <v>273</v>
      </c>
      <c r="HA13" s="64">
        <v>1.2085528354508801E-2</v>
      </c>
      <c r="HB13" s="63">
        <v>326</v>
      </c>
      <c r="HC13" s="64">
        <v>1.4711191335740101E-2</v>
      </c>
      <c r="HD13" s="63">
        <v>255</v>
      </c>
      <c r="HE13" s="64">
        <v>1.1734388661359301E-2</v>
      </c>
      <c r="HF13" s="63">
        <v>139</v>
      </c>
      <c r="HG13" s="64">
        <v>6.49684505725637E-3</v>
      </c>
      <c r="HH13" s="63">
        <v>226</v>
      </c>
      <c r="HI13" s="64">
        <v>1.07773009060563E-2</v>
      </c>
      <c r="HJ13" s="63">
        <v>103</v>
      </c>
      <c r="HK13" s="64">
        <v>4.9978164879421602E-3</v>
      </c>
      <c r="HL13" s="63">
        <v>72</v>
      </c>
      <c r="HM13" s="64">
        <v>3.5135662697638099E-3</v>
      </c>
      <c r="HN13" s="63">
        <v>73</v>
      </c>
      <c r="HO13" s="64">
        <v>3.6054724156665201E-3</v>
      </c>
      <c r="HP13" s="63">
        <v>22</v>
      </c>
      <c r="HQ13" s="64">
        <v>1.0981331736048699E-3</v>
      </c>
      <c r="HR13" s="63">
        <v>-25</v>
      </c>
      <c r="HS13" s="64">
        <v>-1.25874830068979E-3</v>
      </c>
      <c r="HT13" s="63">
        <v>-19</v>
      </c>
      <c r="HU13" s="65">
        <v>-9.61684466265121E-4</v>
      </c>
    </row>
    <row r="14" spans="1:229" x14ac:dyDescent="0.3">
      <c r="A14" t="s">
        <v>23</v>
      </c>
      <c r="B14" t="s">
        <v>54</v>
      </c>
      <c r="C14" t="s">
        <v>24</v>
      </c>
      <c r="D14" s="3">
        <v>89278</v>
      </c>
      <c r="E14" s="25">
        <v>88521</v>
      </c>
      <c r="F14" s="25">
        <v>87052</v>
      </c>
      <c r="G14" s="25">
        <v>87488</v>
      </c>
      <c r="H14" s="25">
        <v>87632</v>
      </c>
      <c r="I14" s="25">
        <v>86876</v>
      </c>
      <c r="J14" s="25">
        <v>86513</v>
      </c>
      <c r="K14" s="25">
        <v>86244</v>
      </c>
      <c r="L14" s="25">
        <v>85541</v>
      </c>
      <c r="M14" s="25">
        <v>84754</v>
      </c>
      <c r="N14" s="25">
        <v>83332</v>
      </c>
      <c r="O14" s="25">
        <v>84216</v>
      </c>
      <c r="P14" s="25">
        <v>83425</v>
      </c>
      <c r="Q14" s="25">
        <v>82202</v>
      </c>
      <c r="R14" s="25">
        <v>80183</v>
      </c>
      <c r="S14" s="25">
        <v>80312</v>
      </c>
      <c r="T14" s="25">
        <v>79526</v>
      </c>
      <c r="U14" s="25">
        <v>78088</v>
      </c>
      <c r="V14" s="25">
        <v>77511</v>
      </c>
      <c r="W14" s="25">
        <v>77729</v>
      </c>
      <c r="X14" s="25">
        <v>76092</v>
      </c>
      <c r="Y14" s="25">
        <v>75841</v>
      </c>
      <c r="Z14" s="25">
        <v>74377</v>
      </c>
      <c r="AA14" s="25">
        <v>72898</v>
      </c>
      <c r="AB14" s="2">
        <v>73174</v>
      </c>
      <c r="AC14" s="1"/>
      <c r="AD14" s="4">
        <v>7689</v>
      </c>
      <c r="AE14" s="5">
        <f>AD14/D14</f>
        <v>8.612424113443401E-2</v>
      </c>
      <c r="AF14" s="6">
        <v>7776</v>
      </c>
      <c r="AG14" s="5">
        <v>8.7843562544481002E-2</v>
      </c>
      <c r="AH14" s="6">
        <v>7948</v>
      </c>
      <c r="AI14" s="5">
        <v>9.1301750677755797E-2</v>
      </c>
      <c r="AJ14" s="6">
        <v>7959</v>
      </c>
      <c r="AK14" s="5">
        <v>9.0972476225310905E-2</v>
      </c>
      <c r="AL14" s="6">
        <v>7429</v>
      </c>
      <c r="AM14" s="5">
        <v>8.4774968048201602E-2</v>
      </c>
      <c r="AN14" s="6">
        <v>7892</v>
      </c>
      <c r="AO14" s="5">
        <v>9.0842119802937493E-2</v>
      </c>
      <c r="AP14" s="6">
        <v>7843</v>
      </c>
      <c r="AQ14" s="5">
        <v>9.0656895495474704E-2</v>
      </c>
      <c r="AR14" s="6">
        <v>8317</v>
      </c>
      <c r="AS14" s="5">
        <v>9.6435694077269096E-2</v>
      </c>
      <c r="AT14" s="6">
        <v>7508</v>
      </c>
      <c r="AU14" s="5">
        <v>8.7770776586666002E-2</v>
      </c>
      <c r="AV14" s="6">
        <v>7561</v>
      </c>
      <c r="AW14" s="5">
        <v>8.9211128678292506E-2</v>
      </c>
      <c r="AX14" s="6">
        <v>7524</v>
      </c>
      <c r="AY14" s="5">
        <v>9.0289444631114102E-2</v>
      </c>
      <c r="AZ14" s="6">
        <v>7585</v>
      </c>
      <c r="BA14" s="5">
        <v>9.0066020708653896E-2</v>
      </c>
      <c r="BB14" s="6">
        <v>7084</v>
      </c>
      <c r="BC14" s="5">
        <v>8.4914593946658706E-2</v>
      </c>
      <c r="BD14" s="6">
        <v>6972</v>
      </c>
      <c r="BE14" s="5">
        <v>8.4815454611809907E-2</v>
      </c>
      <c r="BF14" s="6">
        <v>7567</v>
      </c>
      <c r="BG14" s="5">
        <v>9.4371624908022894E-2</v>
      </c>
      <c r="BH14" s="6">
        <v>6566</v>
      </c>
      <c r="BI14" s="5">
        <v>8.1756151011056905E-2</v>
      </c>
      <c r="BJ14" s="6">
        <v>6410</v>
      </c>
      <c r="BK14" s="5">
        <v>8.0602570228604495E-2</v>
      </c>
      <c r="BL14" s="6">
        <v>6445</v>
      </c>
      <c r="BM14" s="5">
        <v>8.2535088617969501E-2</v>
      </c>
      <c r="BN14" s="6">
        <v>6677</v>
      </c>
      <c r="BO14" s="5">
        <v>8.6142612016359005E-2</v>
      </c>
      <c r="BP14" s="6">
        <v>6560</v>
      </c>
      <c r="BQ14" s="5">
        <v>8.4395785356816605E-2</v>
      </c>
      <c r="BR14" s="6">
        <v>6717</v>
      </c>
      <c r="BS14" s="5">
        <v>8.8274720075697796E-2</v>
      </c>
      <c r="BT14" s="6">
        <v>6644</v>
      </c>
      <c r="BU14" s="5">
        <v>8.7604330111681006E-2</v>
      </c>
      <c r="BV14" s="6">
        <v>6257</v>
      </c>
      <c r="BW14" s="5">
        <v>8.4125468894954106E-2</v>
      </c>
      <c r="BX14" s="6">
        <v>6349</v>
      </c>
      <c r="BY14" s="5">
        <v>8.7094296139811803E-2</v>
      </c>
      <c r="BZ14" s="6">
        <v>5800</v>
      </c>
      <c r="CA14" s="7">
        <v>7.9263126247027596E-2</v>
      </c>
      <c r="CB14" s="8">
        <v>9650</v>
      </c>
      <c r="CC14" s="9">
        <f>CB14/D14</f>
        <v>0.10808933891888259</v>
      </c>
      <c r="CD14" s="8">
        <v>9660</v>
      </c>
      <c r="CE14" s="9">
        <v>0.10912664791405401</v>
      </c>
      <c r="CF14" s="8">
        <v>9810</v>
      </c>
      <c r="CG14" s="9">
        <v>0.11269126499104</v>
      </c>
      <c r="CH14" s="8">
        <v>10294</v>
      </c>
      <c r="CI14" s="9">
        <v>0.11766185076810499</v>
      </c>
      <c r="CJ14" s="8">
        <v>9522</v>
      </c>
      <c r="CK14" s="9">
        <v>0.108658937374475</v>
      </c>
      <c r="CL14" s="8">
        <v>9511</v>
      </c>
      <c r="CM14" s="9">
        <v>0.109477876513652</v>
      </c>
      <c r="CN14" s="8">
        <v>9487</v>
      </c>
      <c r="CO14" s="9">
        <v>0.109659819911458</v>
      </c>
      <c r="CP14" s="8">
        <v>9145</v>
      </c>
      <c r="CQ14" s="9">
        <v>0.106036361949817</v>
      </c>
      <c r="CR14" s="8">
        <v>8840</v>
      </c>
      <c r="CS14" s="9">
        <v>0.103342256929426</v>
      </c>
      <c r="CT14" s="8">
        <v>9142</v>
      </c>
      <c r="CU14" s="9">
        <v>0.10786511551077201</v>
      </c>
      <c r="CV14" s="8">
        <v>8953</v>
      </c>
      <c r="CW14" s="9">
        <v>0.107437719003504</v>
      </c>
      <c r="CX14" s="8">
        <v>8782</v>
      </c>
      <c r="CY14" s="9">
        <v>0.10427947183433101</v>
      </c>
      <c r="CZ14" s="8">
        <v>9013</v>
      </c>
      <c r="DA14" s="9">
        <v>0.10803715912496301</v>
      </c>
      <c r="DB14" s="8">
        <v>8641</v>
      </c>
      <c r="DC14" s="9">
        <v>0.105119096858957</v>
      </c>
      <c r="DD14" s="8">
        <v>8829</v>
      </c>
      <c r="DE14" s="9">
        <v>0.11011062195228399</v>
      </c>
      <c r="DF14" s="8">
        <v>8002</v>
      </c>
      <c r="DG14" s="9">
        <v>9.9636417969917304E-2</v>
      </c>
      <c r="DH14" s="8">
        <v>8147</v>
      </c>
      <c r="DI14" s="9">
        <v>0.10244448356512301</v>
      </c>
      <c r="DJ14" s="8">
        <v>8455</v>
      </c>
      <c r="DK14" s="9">
        <v>0.10827527917221599</v>
      </c>
      <c r="DL14" s="8">
        <v>8095</v>
      </c>
      <c r="DM14" s="9">
        <v>0.104436789616958</v>
      </c>
      <c r="DN14" s="8">
        <v>8179</v>
      </c>
      <c r="DO14" s="9">
        <v>0.10522456226118999</v>
      </c>
      <c r="DP14" s="8">
        <v>7946</v>
      </c>
      <c r="DQ14" s="9">
        <v>0.10442622089050101</v>
      </c>
      <c r="DR14" s="8">
        <v>7978</v>
      </c>
      <c r="DS14" s="9">
        <v>0.105193760630793</v>
      </c>
      <c r="DT14" s="8">
        <v>7157</v>
      </c>
      <c r="DU14" s="9">
        <v>9.6225983839090007E-2</v>
      </c>
      <c r="DV14" s="8">
        <v>6893</v>
      </c>
      <c r="DW14" s="9">
        <v>9.4556777963730104E-2</v>
      </c>
      <c r="DX14" s="8">
        <v>7090</v>
      </c>
      <c r="DY14" s="10">
        <v>9.6892338808866496E-2</v>
      </c>
      <c r="DZ14" s="72">
        <v>-1961</v>
      </c>
      <c r="EA14" s="73">
        <f>DZ14/D14</f>
        <v>-2.1965097784448575E-2</v>
      </c>
      <c r="EB14" s="72">
        <v>-1884</v>
      </c>
      <c r="EC14" s="73">
        <v>-2.1283085369573299E-2</v>
      </c>
      <c r="ED14" s="72">
        <v>-1862</v>
      </c>
      <c r="EE14" s="73">
        <v>-2.1389514313284001E-2</v>
      </c>
      <c r="EF14" s="72">
        <v>-2335</v>
      </c>
      <c r="EG14" s="73">
        <v>-2.6689374542794402E-2</v>
      </c>
      <c r="EH14" s="72">
        <v>-2093</v>
      </c>
      <c r="EI14" s="73">
        <v>-2.3883969326273499E-2</v>
      </c>
      <c r="EJ14" s="72">
        <v>-1619</v>
      </c>
      <c r="EK14" s="73">
        <v>-1.8635756710714099E-2</v>
      </c>
      <c r="EL14" s="72">
        <v>-1644</v>
      </c>
      <c r="EM14" s="73">
        <v>-1.90029244159837E-2</v>
      </c>
      <c r="EN14" s="72">
        <v>-828</v>
      </c>
      <c r="EO14" s="73">
        <v>-9.6006678725476594E-3</v>
      </c>
      <c r="EP14" s="72">
        <v>-1332</v>
      </c>
      <c r="EQ14" s="73">
        <v>-1.5571480342759601E-2</v>
      </c>
      <c r="ER14" s="72">
        <v>-1581</v>
      </c>
      <c r="ES14" s="73">
        <v>-1.8653986832479898E-2</v>
      </c>
      <c r="ET14" s="72">
        <v>-1429</v>
      </c>
      <c r="EU14" s="73">
        <v>-1.7148274372389999E-2</v>
      </c>
      <c r="EV14" s="72">
        <v>-1197</v>
      </c>
      <c r="EW14" s="73">
        <v>-1.4213451125676801E-2</v>
      </c>
      <c r="EX14" s="72">
        <v>-1929</v>
      </c>
      <c r="EY14" s="73">
        <v>-2.3122565178303901E-2</v>
      </c>
      <c r="EZ14" s="72">
        <v>-1669</v>
      </c>
      <c r="FA14" s="73">
        <v>-2.0303642247147299E-2</v>
      </c>
      <c r="FB14" s="72">
        <v>-1262</v>
      </c>
      <c r="FC14" s="73">
        <v>-1.5738997044261301E-2</v>
      </c>
      <c r="FD14" s="72">
        <v>-1436</v>
      </c>
      <c r="FE14" s="73">
        <v>-1.78802669588604E-2</v>
      </c>
      <c r="FF14" s="72">
        <v>-1737</v>
      </c>
      <c r="FG14" s="73">
        <v>-2.1841913336518901E-2</v>
      </c>
      <c r="FH14" s="72">
        <v>-2010</v>
      </c>
      <c r="FI14" s="73">
        <v>-2.5740190554246499E-2</v>
      </c>
      <c r="FJ14" s="72">
        <v>-1418</v>
      </c>
      <c r="FK14" s="73">
        <v>-1.82941776005986E-2</v>
      </c>
      <c r="FL14" s="72">
        <v>-1619</v>
      </c>
      <c r="FM14" s="73">
        <v>-2.08287769043729E-2</v>
      </c>
      <c r="FN14" s="72">
        <v>-1229</v>
      </c>
      <c r="FO14" s="73">
        <v>-1.6151500814803099E-2</v>
      </c>
      <c r="FP14" s="72">
        <v>-1334</v>
      </c>
      <c r="FQ14" s="73">
        <v>-1.7589430519112399E-2</v>
      </c>
      <c r="FR14" s="72">
        <v>-900</v>
      </c>
      <c r="FS14" s="73">
        <v>-1.2100514944136E-2</v>
      </c>
      <c r="FT14" s="72">
        <v>-544</v>
      </c>
      <c r="FU14" s="73">
        <v>-7.4624818239183502E-3</v>
      </c>
      <c r="FV14" s="72">
        <v>-1290</v>
      </c>
      <c r="FW14" s="74">
        <v>-1.76292125618389E-2</v>
      </c>
      <c r="FX14" s="63">
        <v>2355</v>
      </c>
      <c r="FY14" s="64">
        <f>FX14/D14</f>
        <v>2.6378279083312799E-2</v>
      </c>
      <c r="FZ14" s="63">
        <v>2645</v>
      </c>
      <c r="GA14" s="64">
        <v>2.9879915500276799E-2</v>
      </c>
      <c r="GB14" s="63">
        <v>3011</v>
      </c>
      <c r="GC14" s="64">
        <v>3.4588521803060199E-2</v>
      </c>
      <c r="GD14" s="63">
        <v>1443</v>
      </c>
      <c r="GE14" s="64">
        <v>1.6493690563277201E-2</v>
      </c>
      <c r="GF14" s="63">
        <v>1688</v>
      </c>
      <c r="GG14" s="64">
        <v>1.9262369910535E-2</v>
      </c>
      <c r="GH14" s="63">
        <v>1875</v>
      </c>
      <c r="GI14" s="64">
        <v>2.15824853814632E-2</v>
      </c>
      <c r="GJ14" s="63">
        <v>1463</v>
      </c>
      <c r="GK14" s="64">
        <v>1.6910753297192299E-2</v>
      </c>
      <c r="GL14" s="63">
        <v>669</v>
      </c>
      <c r="GM14" s="64">
        <v>7.7570613607903204E-3</v>
      </c>
      <c r="GN14" s="63">
        <v>1513</v>
      </c>
      <c r="GO14" s="64">
        <v>1.76874247436902E-2</v>
      </c>
      <c r="GP14" s="63">
        <v>1810</v>
      </c>
      <c r="GQ14" s="64">
        <v>2.13559242041674E-2</v>
      </c>
      <c r="GR14" s="63">
        <v>2210</v>
      </c>
      <c r="GS14" s="64">
        <v>2.6520424326789201E-2</v>
      </c>
      <c r="GT14" s="63">
        <v>-207</v>
      </c>
      <c r="GU14" s="64">
        <v>-2.4579652322599E-3</v>
      </c>
      <c r="GV14" s="63">
        <v>2153</v>
      </c>
      <c r="GW14" s="64">
        <v>2.5807611627210101E-2</v>
      </c>
      <c r="GX14" s="63">
        <v>2274</v>
      </c>
      <c r="GY14" s="64">
        <v>2.7663560497311501E-2</v>
      </c>
      <c r="GZ14" s="63">
        <v>2615</v>
      </c>
      <c r="HA14" s="64">
        <v>3.26128979958345E-2</v>
      </c>
      <c r="HB14" s="63">
        <v>708</v>
      </c>
      <c r="HC14" s="64">
        <v>8.8156190855662904E-3</v>
      </c>
      <c r="HD14" s="63">
        <v>2006</v>
      </c>
      <c r="HE14" s="64">
        <v>2.5224454895254399E-2</v>
      </c>
      <c r="HF14" s="63">
        <v>3121</v>
      </c>
      <c r="HG14" s="64">
        <v>3.9967728716319997E-2</v>
      </c>
      <c r="HH14" s="63">
        <v>1372</v>
      </c>
      <c r="HI14" s="64">
        <v>1.7700713447123598E-2</v>
      </c>
      <c r="HJ14" s="63">
        <v>742</v>
      </c>
      <c r="HK14" s="64">
        <v>9.5459866973716407E-3</v>
      </c>
      <c r="HL14" s="63">
        <v>2359</v>
      </c>
      <c r="HM14" s="64">
        <v>3.1001945013930499E-2</v>
      </c>
      <c r="HN14" s="63">
        <v>1080</v>
      </c>
      <c r="HO14" s="64">
        <v>1.42403185612004E-2</v>
      </c>
      <c r="HP14" s="63">
        <v>2007</v>
      </c>
      <c r="HQ14" s="64">
        <v>2.6984148325423198E-2</v>
      </c>
      <c r="HR14" s="63">
        <v>1623</v>
      </c>
      <c r="HS14" s="64">
        <v>2.2263985294521099E-2</v>
      </c>
      <c r="HT14" s="63">
        <v>474</v>
      </c>
      <c r="HU14" s="65">
        <v>6.4777106622570897E-3</v>
      </c>
    </row>
    <row r="15" spans="1:229" x14ac:dyDescent="0.3">
      <c r="A15" t="s">
        <v>25</v>
      </c>
      <c r="B15" t="s">
        <v>26</v>
      </c>
      <c r="C15" t="s">
        <v>26</v>
      </c>
      <c r="D15" s="3">
        <v>54107</v>
      </c>
      <c r="E15" s="25">
        <v>53704</v>
      </c>
      <c r="F15" s="25">
        <v>52751</v>
      </c>
      <c r="G15" s="25">
        <v>52854</v>
      </c>
      <c r="H15" s="25">
        <v>52728</v>
      </c>
      <c r="I15" s="25">
        <v>52536</v>
      </c>
      <c r="J15" s="25">
        <v>52201</v>
      </c>
      <c r="K15" s="25">
        <v>51933</v>
      </c>
      <c r="L15" s="25">
        <v>51426</v>
      </c>
      <c r="M15" s="25">
        <v>50724</v>
      </c>
      <c r="N15" s="25">
        <v>50237</v>
      </c>
      <c r="O15" s="25">
        <v>49411</v>
      </c>
      <c r="P15" s="25">
        <v>48805</v>
      </c>
      <c r="Q15" s="25">
        <v>47947</v>
      </c>
      <c r="R15" s="25">
        <v>46818</v>
      </c>
      <c r="S15" s="25">
        <v>45637</v>
      </c>
      <c r="T15" s="25">
        <v>44614</v>
      </c>
      <c r="U15" s="25">
        <v>43564</v>
      </c>
      <c r="V15" s="25">
        <v>42981</v>
      </c>
      <c r="W15" s="25">
        <v>42250</v>
      </c>
      <c r="X15" s="25">
        <v>41938</v>
      </c>
      <c r="Y15" s="25">
        <v>41569</v>
      </c>
      <c r="Z15" s="25">
        <v>40893</v>
      </c>
      <c r="AA15" s="25">
        <v>40075</v>
      </c>
      <c r="AB15" s="2">
        <v>39749</v>
      </c>
      <c r="AC15" s="1"/>
      <c r="AD15" s="4">
        <v>3987</v>
      </c>
      <c r="AE15" s="5">
        <f>AD15/D15</f>
        <v>7.3687323266860116E-2</v>
      </c>
      <c r="AF15" s="6">
        <v>3886</v>
      </c>
      <c r="AG15" s="5">
        <v>7.2359600774616395E-2</v>
      </c>
      <c r="AH15" s="6">
        <v>3819</v>
      </c>
      <c r="AI15" s="5">
        <v>7.2396731815510595E-2</v>
      </c>
      <c r="AJ15" s="6">
        <v>3679</v>
      </c>
      <c r="AK15" s="5">
        <v>6.9606841487872204E-2</v>
      </c>
      <c r="AL15" s="6">
        <v>3740</v>
      </c>
      <c r="AM15" s="5">
        <v>7.0930056137156694E-2</v>
      </c>
      <c r="AN15" s="6">
        <v>3936</v>
      </c>
      <c r="AO15" s="5">
        <v>7.4920054819552301E-2</v>
      </c>
      <c r="AP15" s="6">
        <v>4043</v>
      </c>
      <c r="AQ15" s="5">
        <v>7.7450623551272996E-2</v>
      </c>
      <c r="AR15" s="6">
        <v>4047</v>
      </c>
      <c r="AS15" s="5">
        <v>7.7927329443706297E-2</v>
      </c>
      <c r="AT15" s="6">
        <v>4239</v>
      </c>
      <c r="AU15" s="5">
        <v>8.2429121456072799E-2</v>
      </c>
      <c r="AV15" s="6">
        <v>4240</v>
      </c>
      <c r="AW15" s="5">
        <v>8.3589622269537103E-2</v>
      </c>
      <c r="AX15" s="6">
        <v>4259</v>
      </c>
      <c r="AY15" s="5">
        <v>8.4778151561598E-2</v>
      </c>
      <c r="AZ15" s="6">
        <v>4070</v>
      </c>
      <c r="BA15" s="5">
        <v>8.2370322397846599E-2</v>
      </c>
      <c r="BB15" s="6">
        <v>4269</v>
      </c>
      <c r="BC15" s="5">
        <v>8.7470546050609596E-2</v>
      </c>
      <c r="BD15" s="6">
        <v>4198</v>
      </c>
      <c r="BE15" s="5">
        <v>8.7555008655390301E-2</v>
      </c>
      <c r="BF15" s="6">
        <v>4472</v>
      </c>
      <c r="BG15" s="5">
        <v>9.5518817548806007E-2</v>
      </c>
      <c r="BH15" s="6">
        <v>4232</v>
      </c>
      <c r="BI15" s="5">
        <v>9.2731774656528695E-2</v>
      </c>
      <c r="BJ15" s="6">
        <v>3983</v>
      </c>
      <c r="BK15" s="5">
        <v>8.9276908593714996E-2</v>
      </c>
      <c r="BL15" s="6">
        <v>4067</v>
      </c>
      <c r="BM15" s="5">
        <v>9.3356900192819794E-2</v>
      </c>
      <c r="BN15" s="6">
        <v>3803</v>
      </c>
      <c r="BO15" s="5">
        <v>8.8480956701798494E-2</v>
      </c>
      <c r="BP15" s="6">
        <v>3906</v>
      </c>
      <c r="BQ15" s="5">
        <v>9.2449704142011799E-2</v>
      </c>
      <c r="BR15" s="6">
        <v>3491</v>
      </c>
      <c r="BS15" s="5">
        <v>8.3241928561209405E-2</v>
      </c>
      <c r="BT15" s="6">
        <v>3610</v>
      </c>
      <c r="BU15" s="5">
        <v>8.6843561307705305E-2</v>
      </c>
      <c r="BV15" s="6">
        <v>3613</v>
      </c>
      <c r="BW15" s="5">
        <v>8.8352529772821806E-2</v>
      </c>
      <c r="BX15" s="6">
        <v>3340</v>
      </c>
      <c r="BY15" s="5">
        <v>8.3343730505302596E-2</v>
      </c>
      <c r="BZ15" s="6">
        <v>3304</v>
      </c>
      <c r="CA15" s="7">
        <v>8.3121587964477106E-2</v>
      </c>
      <c r="CB15" s="8">
        <v>4540</v>
      </c>
      <c r="CC15" s="9">
        <f>CB15/D15</f>
        <v>8.3907812297854253E-2</v>
      </c>
      <c r="CD15" s="8">
        <v>4499</v>
      </c>
      <c r="CE15" s="9">
        <v>8.3774020557128001E-2</v>
      </c>
      <c r="CF15" s="8">
        <v>4383</v>
      </c>
      <c r="CG15" s="9">
        <v>8.3088472256450094E-2</v>
      </c>
      <c r="CH15" s="8">
        <v>4488</v>
      </c>
      <c r="CI15" s="9">
        <v>8.4913156998524197E-2</v>
      </c>
      <c r="CJ15" s="8">
        <v>4234</v>
      </c>
      <c r="CK15" s="9">
        <v>8.0298892429069901E-2</v>
      </c>
      <c r="CL15" s="8">
        <v>4484</v>
      </c>
      <c r="CM15" s="9">
        <v>8.5350997411298896E-2</v>
      </c>
      <c r="CN15" s="8">
        <v>4458</v>
      </c>
      <c r="CO15" s="9">
        <v>8.5400662822551293E-2</v>
      </c>
      <c r="CP15" s="8">
        <v>4563</v>
      </c>
      <c r="CQ15" s="9">
        <v>8.7863208364623593E-2</v>
      </c>
      <c r="CR15" s="8">
        <v>4324</v>
      </c>
      <c r="CS15" s="9">
        <v>8.4081981876871603E-2</v>
      </c>
      <c r="CT15" s="8">
        <v>4320</v>
      </c>
      <c r="CU15" s="9">
        <v>8.5166784953867994E-2</v>
      </c>
      <c r="CV15" s="8">
        <v>4478</v>
      </c>
      <c r="CW15" s="9">
        <v>8.9137488305432194E-2</v>
      </c>
      <c r="CX15" s="8">
        <v>4084</v>
      </c>
      <c r="CY15" s="9">
        <v>8.2653660116168495E-2</v>
      </c>
      <c r="CZ15" s="8">
        <v>4376</v>
      </c>
      <c r="DA15" s="9">
        <v>8.9662944370453801E-2</v>
      </c>
      <c r="DB15" s="8">
        <v>4244</v>
      </c>
      <c r="DC15" s="9">
        <v>8.8514401318122105E-2</v>
      </c>
      <c r="DD15" s="8">
        <v>4335</v>
      </c>
      <c r="DE15" s="9">
        <v>9.2592592592592601E-2</v>
      </c>
      <c r="DF15" s="8">
        <v>3910</v>
      </c>
      <c r="DG15" s="9">
        <v>8.5676096150053699E-2</v>
      </c>
      <c r="DH15" s="8">
        <v>3935</v>
      </c>
      <c r="DI15" s="9">
        <v>8.8201013134890399E-2</v>
      </c>
      <c r="DJ15" s="8">
        <v>3767</v>
      </c>
      <c r="DK15" s="9">
        <v>8.6470480213019896E-2</v>
      </c>
      <c r="DL15" s="8">
        <v>3854</v>
      </c>
      <c r="DM15" s="9">
        <v>8.9667527512156495E-2</v>
      </c>
      <c r="DN15" s="8">
        <v>3745</v>
      </c>
      <c r="DO15" s="9">
        <v>8.8639053254437897E-2</v>
      </c>
      <c r="DP15" s="8">
        <v>3555</v>
      </c>
      <c r="DQ15" s="9">
        <v>8.4767990843626295E-2</v>
      </c>
      <c r="DR15" s="8">
        <v>3567</v>
      </c>
      <c r="DS15" s="9">
        <v>8.5809136616228396E-2</v>
      </c>
      <c r="DT15" s="8">
        <v>3269</v>
      </c>
      <c r="DU15" s="9">
        <v>7.9940332086176097E-2</v>
      </c>
      <c r="DV15" s="8">
        <v>3033</v>
      </c>
      <c r="DW15" s="9">
        <v>7.5683094198378001E-2</v>
      </c>
      <c r="DX15" s="8">
        <v>3053</v>
      </c>
      <c r="DY15" s="10">
        <v>7.6806963697199901E-2</v>
      </c>
      <c r="DZ15" s="72">
        <v>-553</v>
      </c>
      <c r="EA15" s="73">
        <f>DZ15/D15</f>
        <v>-1.0220489030994141E-2</v>
      </c>
      <c r="EB15" s="72">
        <v>-613</v>
      </c>
      <c r="EC15" s="73">
        <v>-1.14144197825115E-2</v>
      </c>
      <c r="ED15" s="72">
        <v>-564</v>
      </c>
      <c r="EE15" s="73">
        <v>-1.06917404409395E-2</v>
      </c>
      <c r="EF15" s="72">
        <v>-809</v>
      </c>
      <c r="EG15" s="73">
        <v>-1.5306315510652001E-2</v>
      </c>
      <c r="EH15" s="72">
        <v>-494</v>
      </c>
      <c r="EI15" s="73">
        <v>-9.3688362919132108E-3</v>
      </c>
      <c r="EJ15" s="72">
        <v>-548</v>
      </c>
      <c r="EK15" s="73">
        <v>-1.04309425917466E-2</v>
      </c>
      <c r="EL15" s="72">
        <v>-415</v>
      </c>
      <c r="EM15" s="73">
        <v>-7.9500392712783304E-3</v>
      </c>
      <c r="EN15" s="72">
        <v>-516</v>
      </c>
      <c r="EO15" s="73">
        <v>-9.9358789209173393E-3</v>
      </c>
      <c r="EP15" s="72">
        <v>-85</v>
      </c>
      <c r="EQ15" s="73">
        <v>-1.65286042079882E-3</v>
      </c>
      <c r="ER15" s="72">
        <v>-80</v>
      </c>
      <c r="ES15" s="73">
        <v>-1.5771626843308899E-3</v>
      </c>
      <c r="ET15" s="72">
        <v>-219</v>
      </c>
      <c r="EU15" s="73">
        <v>-4.3593367438342296E-3</v>
      </c>
      <c r="EV15" s="72">
        <v>-14</v>
      </c>
      <c r="EW15" s="73">
        <v>-2.8333771832183099E-4</v>
      </c>
      <c r="EX15" s="72">
        <v>-107</v>
      </c>
      <c r="EY15" s="73">
        <v>-2.1923983198442799E-3</v>
      </c>
      <c r="EZ15" s="72">
        <v>-46</v>
      </c>
      <c r="FA15" s="73">
        <v>-9.5939266273176605E-4</v>
      </c>
      <c r="FB15" s="72">
        <v>137</v>
      </c>
      <c r="FC15" s="73">
        <v>2.9262249562134199E-3</v>
      </c>
      <c r="FD15" s="72">
        <v>322</v>
      </c>
      <c r="FE15" s="73">
        <v>7.0556785064750096E-3</v>
      </c>
      <c r="FF15" s="72">
        <v>48</v>
      </c>
      <c r="FG15" s="73">
        <v>1.07589545882458E-3</v>
      </c>
      <c r="FH15" s="72">
        <v>300</v>
      </c>
      <c r="FI15" s="73">
        <v>6.8864199797998302E-3</v>
      </c>
      <c r="FJ15" s="72">
        <v>-51</v>
      </c>
      <c r="FK15" s="73">
        <v>-1.18657081035807E-3</v>
      </c>
      <c r="FL15" s="72">
        <v>161</v>
      </c>
      <c r="FM15" s="73">
        <v>3.8106508875739601E-3</v>
      </c>
      <c r="FN15" s="72">
        <v>-64</v>
      </c>
      <c r="FO15" s="73">
        <v>-1.5260622824169001E-3</v>
      </c>
      <c r="FP15" s="72">
        <v>43</v>
      </c>
      <c r="FQ15" s="73">
        <v>1.03442469147682E-3</v>
      </c>
      <c r="FR15" s="72">
        <v>344</v>
      </c>
      <c r="FS15" s="73">
        <v>8.4121976866456394E-3</v>
      </c>
      <c r="FT15" s="72">
        <v>307</v>
      </c>
      <c r="FU15" s="73">
        <v>7.6606363069245198E-3</v>
      </c>
      <c r="FV15" s="72">
        <v>251</v>
      </c>
      <c r="FW15" s="74">
        <v>6.3146242672771601E-3</v>
      </c>
      <c r="FX15" s="63">
        <v>659</v>
      </c>
      <c r="FY15" s="64">
        <f>FX15/D15</f>
        <v>1.2179570111076201E-2</v>
      </c>
      <c r="FZ15" s="63">
        <v>821</v>
      </c>
      <c r="GA15" s="64">
        <v>1.5287501862058701E-2</v>
      </c>
      <c r="GB15" s="63">
        <v>1225</v>
      </c>
      <c r="GC15" s="64">
        <v>2.3222308581827798E-2</v>
      </c>
      <c r="GD15" s="63">
        <v>510</v>
      </c>
      <c r="GE15" s="64">
        <v>9.6492223861959405E-3</v>
      </c>
      <c r="GF15" s="63">
        <v>469</v>
      </c>
      <c r="GG15" s="64">
        <v>8.8947049006220594E-3</v>
      </c>
      <c r="GH15" s="63">
        <v>406</v>
      </c>
      <c r="GI15" s="64">
        <v>7.72803410994366E-3</v>
      </c>
      <c r="GJ15" s="63">
        <v>476</v>
      </c>
      <c r="GK15" s="64">
        <v>9.1185992605505601E-3</v>
      </c>
      <c r="GL15" s="63">
        <v>436</v>
      </c>
      <c r="GM15" s="64">
        <v>8.3954325765890694E-3</v>
      </c>
      <c r="GN15" s="63">
        <v>275</v>
      </c>
      <c r="GO15" s="64">
        <v>5.3474895967020597E-3</v>
      </c>
      <c r="GP15" s="63">
        <v>476</v>
      </c>
      <c r="GQ15" s="64">
        <v>9.3841179717687895E-3</v>
      </c>
      <c r="GR15" s="63">
        <v>412</v>
      </c>
      <c r="GS15" s="64">
        <v>8.2011266596333406E-3</v>
      </c>
      <c r="GT15" s="63">
        <v>494</v>
      </c>
      <c r="GU15" s="64">
        <v>9.9977737750703306E-3</v>
      </c>
      <c r="GV15" s="63">
        <v>386</v>
      </c>
      <c r="GW15" s="64">
        <v>7.9090257145784208E-3</v>
      </c>
      <c r="GX15" s="63">
        <v>511</v>
      </c>
      <c r="GY15" s="64">
        <v>1.0657601101215899E-2</v>
      </c>
      <c r="GZ15" s="63">
        <v>717</v>
      </c>
      <c r="HA15" s="64">
        <v>1.53146225810586E-2</v>
      </c>
      <c r="HB15" s="63">
        <v>581</v>
      </c>
      <c r="HC15" s="64">
        <v>1.27308981747266E-2</v>
      </c>
      <c r="HD15" s="63">
        <v>720</v>
      </c>
      <c r="HE15" s="64">
        <v>1.6138431882368801E-2</v>
      </c>
      <c r="HF15" s="63">
        <v>575</v>
      </c>
      <c r="HG15" s="64">
        <v>1.3198971627949699E-2</v>
      </c>
      <c r="HH15" s="63">
        <v>472</v>
      </c>
      <c r="HI15" s="64">
        <v>1.09815965193923E-2</v>
      </c>
      <c r="HJ15" s="63">
        <v>402</v>
      </c>
      <c r="HK15" s="64">
        <v>9.5147928994082798E-3</v>
      </c>
      <c r="HL15" s="63">
        <v>296</v>
      </c>
      <c r="HM15" s="64">
        <v>7.0580380561781697E-3</v>
      </c>
      <c r="HN15" s="63">
        <v>270</v>
      </c>
      <c r="HO15" s="64">
        <v>6.4952248069474802E-3</v>
      </c>
      <c r="HP15" s="63">
        <v>298</v>
      </c>
      <c r="HQ15" s="64">
        <v>7.2873107866872101E-3</v>
      </c>
      <c r="HR15" s="63">
        <v>483</v>
      </c>
      <c r="HS15" s="64">
        <v>1.20524017467249E-2</v>
      </c>
      <c r="HT15" s="63">
        <v>20</v>
      </c>
      <c r="HU15" s="65">
        <v>5.0315731213363898E-4</v>
      </c>
    </row>
    <row r="16" spans="1:229" x14ac:dyDescent="0.3">
      <c r="A16" t="s">
        <v>27</v>
      </c>
      <c r="B16" t="s">
        <v>28</v>
      </c>
      <c r="C16" t="s">
        <v>28</v>
      </c>
      <c r="D16" s="3">
        <v>22648</v>
      </c>
      <c r="E16" s="25">
        <v>22563</v>
      </c>
      <c r="F16" s="25">
        <v>22023</v>
      </c>
      <c r="G16" s="25">
        <v>21873</v>
      </c>
      <c r="H16" s="25">
        <v>21959</v>
      </c>
      <c r="I16" s="25">
        <v>21990</v>
      </c>
      <c r="J16" s="25">
        <v>21774</v>
      </c>
      <c r="K16" s="25">
        <v>21609</v>
      </c>
      <c r="L16" s="25">
        <v>21638</v>
      </c>
      <c r="M16" s="25">
        <v>21525</v>
      </c>
      <c r="N16" s="25">
        <v>21317</v>
      </c>
      <c r="O16" s="25">
        <v>21025</v>
      </c>
      <c r="P16" s="25">
        <v>20661</v>
      </c>
      <c r="Q16" s="25">
        <v>20261</v>
      </c>
      <c r="R16" s="25">
        <v>19812</v>
      </c>
      <c r="S16" s="25">
        <v>19380</v>
      </c>
      <c r="T16" s="25">
        <v>19025</v>
      </c>
      <c r="U16" s="25">
        <v>18541</v>
      </c>
      <c r="V16" s="25">
        <v>18157</v>
      </c>
      <c r="W16" s="25">
        <v>17721</v>
      </c>
      <c r="X16" s="25">
        <v>17317</v>
      </c>
      <c r="Y16" s="25">
        <v>17021</v>
      </c>
      <c r="Z16" s="25">
        <v>16716</v>
      </c>
      <c r="AA16" s="25">
        <v>16343</v>
      </c>
      <c r="AB16" s="2">
        <v>16211</v>
      </c>
      <c r="AC16" s="1"/>
      <c r="AD16" s="4">
        <v>1777</v>
      </c>
      <c r="AE16" s="5">
        <f>AD16/D16</f>
        <v>7.8461674320028263E-2</v>
      </c>
      <c r="AF16" s="6">
        <v>1669</v>
      </c>
      <c r="AG16" s="5">
        <v>7.3970659929973898E-2</v>
      </c>
      <c r="AH16" s="6">
        <v>1873</v>
      </c>
      <c r="AI16" s="5">
        <v>8.5047450392771201E-2</v>
      </c>
      <c r="AJ16" s="6">
        <v>1930</v>
      </c>
      <c r="AK16" s="5">
        <v>8.8236638778402599E-2</v>
      </c>
      <c r="AL16" s="6">
        <v>1786</v>
      </c>
      <c r="AM16" s="5">
        <v>8.1333394052552493E-2</v>
      </c>
      <c r="AN16" s="6">
        <v>1879</v>
      </c>
      <c r="AO16" s="5">
        <v>8.5447930877671704E-2</v>
      </c>
      <c r="AP16" s="6">
        <v>1841</v>
      </c>
      <c r="AQ16" s="5">
        <v>8.4550381188573498E-2</v>
      </c>
      <c r="AR16" s="6">
        <v>1996</v>
      </c>
      <c r="AS16" s="5">
        <v>9.2368920357258494E-2</v>
      </c>
      <c r="AT16" s="6">
        <v>1921</v>
      </c>
      <c r="AU16" s="5">
        <v>8.8778999907570003E-2</v>
      </c>
      <c r="AV16" s="6">
        <v>1896</v>
      </c>
      <c r="AW16" s="5">
        <v>8.8083623693379798E-2</v>
      </c>
      <c r="AX16" s="6">
        <v>1954</v>
      </c>
      <c r="AY16" s="5">
        <v>9.1663930196556706E-2</v>
      </c>
      <c r="AZ16" s="6">
        <v>2091</v>
      </c>
      <c r="BA16" s="5">
        <v>9.9453032104637296E-2</v>
      </c>
      <c r="BB16" s="6">
        <v>2087</v>
      </c>
      <c r="BC16" s="5">
        <v>0.101011567687914</v>
      </c>
      <c r="BD16" s="6">
        <v>2203</v>
      </c>
      <c r="BE16" s="5">
        <v>0.10873105967129</v>
      </c>
      <c r="BF16" s="6">
        <v>2121</v>
      </c>
      <c r="BG16" s="5">
        <v>0.10705632949727401</v>
      </c>
      <c r="BH16" s="6">
        <v>2010</v>
      </c>
      <c r="BI16" s="5">
        <v>0.103715170278638</v>
      </c>
      <c r="BJ16" s="6">
        <v>1935</v>
      </c>
      <c r="BK16" s="5">
        <v>0.10170827858081501</v>
      </c>
      <c r="BL16" s="6">
        <v>2076</v>
      </c>
      <c r="BM16" s="5">
        <v>0.111968070762095</v>
      </c>
      <c r="BN16" s="6">
        <v>2154</v>
      </c>
      <c r="BO16" s="5">
        <v>0.11863193258798301</v>
      </c>
      <c r="BP16" s="6">
        <v>2006</v>
      </c>
      <c r="BQ16" s="5">
        <v>0.11319902940014701</v>
      </c>
      <c r="BR16" s="6">
        <v>2052</v>
      </c>
      <c r="BS16" s="5">
        <v>0.118496275336375</v>
      </c>
      <c r="BT16" s="6">
        <v>2096</v>
      </c>
      <c r="BU16" s="5">
        <v>0.12314200105751701</v>
      </c>
      <c r="BV16" s="6">
        <v>2078</v>
      </c>
      <c r="BW16" s="5">
        <v>0.12431203637233799</v>
      </c>
      <c r="BX16" s="6">
        <v>1823</v>
      </c>
      <c r="BY16" s="5">
        <v>0.111546227742764</v>
      </c>
      <c r="BZ16" s="6">
        <v>1873</v>
      </c>
      <c r="CA16" s="7">
        <v>0.11553883165751599</v>
      </c>
      <c r="CB16" s="8">
        <v>2043</v>
      </c>
      <c r="CC16" s="9">
        <f>CB16/D16</f>
        <v>9.020664076298128E-2</v>
      </c>
      <c r="CD16" s="8">
        <v>2320</v>
      </c>
      <c r="CE16" s="9">
        <v>0.102823206133936</v>
      </c>
      <c r="CF16" s="8">
        <v>2344</v>
      </c>
      <c r="CG16" s="9">
        <v>0.106434182445625</v>
      </c>
      <c r="CH16" s="8">
        <v>2371</v>
      </c>
      <c r="CI16" s="9">
        <v>0.10839848214693899</v>
      </c>
      <c r="CJ16" s="8">
        <v>2295</v>
      </c>
      <c r="CK16" s="9">
        <v>0.104512955963386</v>
      </c>
      <c r="CL16" s="8">
        <v>2450</v>
      </c>
      <c r="CM16" s="9">
        <v>0.111414279217826</v>
      </c>
      <c r="CN16" s="8">
        <v>2069</v>
      </c>
      <c r="CO16" s="9">
        <v>9.5021585377055198E-2</v>
      </c>
      <c r="CP16" s="8">
        <v>2280</v>
      </c>
      <c r="CQ16" s="9">
        <v>0.105511592392059</v>
      </c>
      <c r="CR16" s="8">
        <v>2332</v>
      </c>
      <c r="CS16" s="9">
        <v>0.10777336167852899</v>
      </c>
      <c r="CT16" s="8">
        <v>2206</v>
      </c>
      <c r="CU16" s="9">
        <v>0.102485481997677</v>
      </c>
      <c r="CV16" s="8">
        <v>2200</v>
      </c>
      <c r="CW16" s="9">
        <v>0.103204015574424</v>
      </c>
      <c r="CX16" s="8">
        <v>2311</v>
      </c>
      <c r="CY16" s="9">
        <v>0.10991676575505401</v>
      </c>
      <c r="CZ16" s="8">
        <v>2236</v>
      </c>
      <c r="DA16" s="9">
        <v>0.108223222496491</v>
      </c>
      <c r="DB16" s="8">
        <v>2313</v>
      </c>
      <c r="DC16" s="9">
        <v>0.114160209269039</v>
      </c>
      <c r="DD16" s="8">
        <v>2471</v>
      </c>
      <c r="DE16" s="9">
        <v>0.124722390470422</v>
      </c>
      <c r="DF16" s="8">
        <v>2146</v>
      </c>
      <c r="DG16" s="9">
        <v>0.110732714138287</v>
      </c>
      <c r="DH16" s="8">
        <v>2271</v>
      </c>
      <c r="DI16" s="9">
        <v>0.119369250985545</v>
      </c>
      <c r="DJ16" s="8">
        <v>2126</v>
      </c>
      <c r="DK16" s="9">
        <v>0.114664796936519</v>
      </c>
      <c r="DL16" s="8">
        <v>2207</v>
      </c>
      <c r="DM16" s="9">
        <v>0.121550917001707</v>
      </c>
      <c r="DN16" s="8">
        <v>2121</v>
      </c>
      <c r="DO16" s="9">
        <v>0.119688505163366</v>
      </c>
      <c r="DP16" s="8">
        <v>1979</v>
      </c>
      <c r="DQ16" s="9">
        <v>0.114280764566611</v>
      </c>
      <c r="DR16" s="8">
        <v>2056</v>
      </c>
      <c r="DS16" s="9">
        <v>0.120791962869397</v>
      </c>
      <c r="DT16" s="8">
        <v>2014</v>
      </c>
      <c r="DU16" s="9">
        <v>0.12048336922708799</v>
      </c>
      <c r="DV16" s="8">
        <v>1748</v>
      </c>
      <c r="DW16" s="9">
        <v>0.106957107018295</v>
      </c>
      <c r="DX16" s="8">
        <v>1806</v>
      </c>
      <c r="DY16" s="10">
        <v>0.111405835543767</v>
      </c>
      <c r="DZ16" s="72">
        <v>-266</v>
      </c>
      <c r="EA16" s="73">
        <f>DZ16/D16</f>
        <v>-1.1744966442953021E-2</v>
      </c>
      <c r="EB16" s="72">
        <v>-651</v>
      </c>
      <c r="EC16" s="73">
        <v>-2.8852546203962201E-2</v>
      </c>
      <c r="ED16" s="72">
        <v>-471</v>
      </c>
      <c r="EE16" s="73">
        <v>-2.13867320528538E-2</v>
      </c>
      <c r="EF16" s="72">
        <v>-441</v>
      </c>
      <c r="EG16" s="73">
        <v>-2.0161843368536599E-2</v>
      </c>
      <c r="EH16" s="72">
        <v>-509</v>
      </c>
      <c r="EI16" s="73">
        <v>-2.3179561910833799E-2</v>
      </c>
      <c r="EJ16" s="72">
        <v>-571</v>
      </c>
      <c r="EK16" s="73">
        <v>-2.5966348340154599E-2</v>
      </c>
      <c r="EL16" s="72">
        <v>-228</v>
      </c>
      <c r="EM16" s="73">
        <v>-1.04712041884817E-2</v>
      </c>
      <c r="EN16" s="72">
        <v>-284</v>
      </c>
      <c r="EO16" s="73">
        <v>-1.3142672034800299E-2</v>
      </c>
      <c r="EP16" s="72">
        <v>-411</v>
      </c>
      <c r="EQ16" s="73">
        <v>-1.89943617709585E-2</v>
      </c>
      <c r="ER16" s="72">
        <v>-310</v>
      </c>
      <c r="ES16" s="73">
        <v>-1.4401858304297299E-2</v>
      </c>
      <c r="ET16" s="72">
        <v>-246</v>
      </c>
      <c r="EU16" s="73">
        <v>-1.1540085377867401E-2</v>
      </c>
      <c r="EV16" s="72">
        <v>-220</v>
      </c>
      <c r="EW16" s="73">
        <v>-1.0463733650416199E-2</v>
      </c>
      <c r="EX16" s="72">
        <v>-149</v>
      </c>
      <c r="EY16" s="73">
        <v>-7.2116548085765404E-3</v>
      </c>
      <c r="EZ16" s="72">
        <v>-110</v>
      </c>
      <c r="FA16" s="73">
        <v>-5.4291495977493703E-3</v>
      </c>
      <c r="FB16" s="72">
        <v>-350</v>
      </c>
      <c r="FC16" s="73">
        <v>-1.7666060973147601E-2</v>
      </c>
      <c r="FD16" s="72">
        <v>-136</v>
      </c>
      <c r="FE16" s="73">
        <v>-7.0175438596491203E-3</v>
      </c>
      <c r="FF16" s="72">
        <v>-336</v>
      </c>
      <c r="FG16" s="73">
        <v>-1.76609724047306E-2</v>
      </c>
      <c r="FH16" s="72">
        <v>-50</v>
      </c>
      <c r="FI16" s="73">
        <v>-2.6967261744242502E-3</v>
      </c>
      <c r="FJ16" s="72">
        <v>-53</v>
      </c>
      <c r="FK16" s="73">
        <v>-2.9189844137247302E-3</v>
      </c>
      <c r="FL16" s="72">
        <v>-115</v>
      </c>
      <c r="FM16" s="73">
        <v>-6.4894757632187796E-3</v>
      </c>
      <c r="FN16" s="72">
        <v>73</v>
      </c>
      <c r="FO16" s="73">
        <v>4.21551076976382E-3</v>
      </c>
      <c r="FP16" s="72">
        <v>40</v>
      </c>
      <c r="FQ16" s="73">
        <v>2.35003818812056E-3</v>
      </c>
      <c r="FR16" s="72">
        <v>64</v>
      </c>
      <c r="FS16" s="73">
        <v>3.8286671452500598E-3</v>
      </c>
      <c r="FT16" s="72">
        <v>75</v>
      </c>
      <c r="FU16" s="73">
        <v>4.5891207244691899E-3</v>
      </c>
      <c r="FV16" s="72">
        <v>67</v>
      </c>
      <c r="FW16" s="74">
        <v>4.13299611374992E-3</v>
      </c>
      <c r="FX16" s="63">
        <v>378</v>
      </c>
      <c r="FY16" s="64">
        <f>FX16/D16</f>
        <v>1.669021547156482E-2</v>
      </c>
      <c r="FZ16" s="63">
        <v>589</v>
      </c>
      <c r="GA16" s="64">
        <v>2.6104684660727701E-2</v>
      </c>
      <c r="GB16" s="63">
        <v>823</v>
      </c>
      <c r="GC16" s="64">
        <v>3.7370022249466499E-2</v>
      </c>
      <c r="GD16" s="63">
        <v>446</v>
      </c>
      <c r="GE16" s="64">
        <v>2.0390435696978002E-2</v>
      </c>
      <c r="GF16" s="63">
        <v>275</v>
      </c>
      <c r="GG16" s="64">
        <v>1.25233389498611E-2</v>
      </c>
      <c r="GH16" s="63">
        <v>382</v>
      </c>
      <c r="GI16" s="64">
        <v>1.7371532514779402E-2</v>
      </c>
      <c r="GJ16" s="63">
        <v>259</v>
      </c>
      <c r="GK16" s="64">
        <v>1.1894920547441901E-2</v>
      </c>
      <c r="GL16" s="63">
        <v>239</v>
      </c>
      <c r="GM16" s="64">
        <v>1.1060206395483401E-2</v>
      </c>
      <c r="GN16" s="63">
        <v>179</v>
      </c>
      <c r="GO16" s="64">
        <v>8.2724835936777898E-3</v>
      </c>
      <c r="GP16" s="63">
        <v>236</v>
      </c>
      <c r="GQ16" s="64">
        <v>1.09639953542393E-2</v>
      </c>
      <c r="GR16" s="63">
        <v>227</v>
      </c>
      <c r="GS16" s="64">
        <v>1.0648777970633801E-2</v>
      </c>
      <c r="GT16" s="63">
        <v>232</v>
      </c>
      <c r="GU16" s="64">
        <v>1.1034482758620699E-2</v>
      </c>
      <c r="GV16" s="63">
        <v>278</v>
      </c>
      <c r="GW16" s="64">
        <v>1.3455302260297199E-2</v>
      </c>
      <c r="GX16" s="63">
        <v>328</v>
      </c>
      <c r="GY16" s="64">
        <v>1.6188736982379898E-2</v>
      </c>
      <c r="GZ16" s="63">
        <v>554</v>
      </c>
      <c r="HA16" s="64">
        <v>2.79628507974965E-2</v>
      </c>
      <c r="HB16" s="63">
        <v>385</v>
      </c>
      <c r="HC16" s="64">
        <v>1.9865841073271402E-2</v>
      </c>
      <c r="HD16" s="63">
        <v>437</v>
      </c>
      <c r="HE16" s="64">
        <v>2.2969776609724001E-2</v>
      </c>
      <c r="HF16" s="63">
        <v>365</v>
      </c>
      <c r="HG16" s="64">
        <v>1.9686101073297001E-2</v>
      </c>
      <c r="HH16" s="63">
        <v>217</v>
      </c>
      <c r="HI16" s="64">
        <v>1.1951313542986199E-2</v>
      </c>
      <c r="HJ16" s="63">
        <v>338</v>
      </c>
      <c r="HK16" s="64">
        <v>1.9073415721460402E-2</v>
      </c>
      <c r="HL16" s="63">
        <v>167</v>
      </c>
      <c r="HM16" s="64">
        <v>9.6437027198706497E-3</v>
      </c>
      <c r="HN16" s="63">
        <v>105</v>
      </c>
      <c r="HO16" s="64">
        <v>6.1688502438164601E-3</v>
      </c>
      <c r="HP16" s="63">
        <v>127</v>
      </c>
      <c r="HQ16" s="64">
        <v>7.5975113663555903E-3</v>
      </c>
      <c r="HR16" s="63">
        <v>165</v>
      </c>
      <c r="HS16" s="64">
        <v>1.00960655938322E-2</v>
      </c>
      <c r="HT16" s="63">
        <v>-19</v>
      </c>
      <c r="HU16" s="65">
        <v>-1.17204367404849E-3</v>
      </c>
    </row>
    <row r="17" spans="1:229" x14ac:dyDescent="0.3">
      <c r="A17" t="s">
        <v>29</v>
      </c>
      <c r="B17" t="s">
        <v>55</v>
      </c>
      <c r="C17" t="s">
        <v>30</v>
      </c>
      <c r="D17" s="3">
        <v>98365</v>
      </c>
      <c r="E17" s="25">
        <v>98270</v>
      </c>
      <c r="F17" s="25">
        <v>97697</v>
      </c>
      <c r="G17" s="25">
        <v>98112</v>
      </c>
      <c r="H17" s="25">
        <v>97979</v>
      </c>
      <c r="I17" s="25">
        <v>97462</v>
      </c>
      <c r="J17" s="25">
        <v>97005</v>
      </c>
      <c r="K17" s="25">
        <v>96629</v>
      </c>
      <c r="L17" s="25">
        <v>96586</v>
      </c>
      <c r="M17" s="25">
        <v>95576</v>
      </c>
      <c r="N17" s="25">
        <v>94854</v>
      </c>
      <c r="O17" s="25">
        <v>94653</v>
      </c>
      <c r="P17" s="25">
        <v>93893</v>
      </c>
      <c r="Q17" s="25">
        <v>91733</v>
      </c>
      <c r="R17" s="25">
        <v>88181</v>
      </c>
      <c r="S17" s="25">
        <v>85735</v>
      </c>
      <c r="T17" s="25">
        <v>83547</v>
      </c>
      <c r="U17" s="25">
        <v>81632</v>
      </c>
      <c r="V17" s="25">
        <v>79877</v>
      </c>
      <c r="W17" s="25">
        <v>78520</v>
      </c>
      <c r="X17" s="25">
        <v>78087</v>
      </c>
      <c r="Y17" s="25">
        <v>76177</v>
      </c>
      <c r="Z17" s="25">
        <v>74662</v>
      </c>
      <c r="AA17" s="25">
        <v>72380</v>
      </c>
      <c r="AB17" s="2">
        <v>71219</v>
      </c>
      <c r="AC17" s="1"/>
      <c r="AD17" s="4">
        <v>5872</v>
      </c>
      <c r="AE17" s="5">
        <f>AD17/D17</f>
        <v>5.9696030092004269E-2</v>
      </c>
      <c r="AF17" s="6">
        <v>5821</v>
      </c>
      <c r="AG17" s="5">
        <v>5.92347613717309E-2</v>
      </c>
      <c r="AH17" s="6">
        <v>5903</v>
      </c>
      <c r="AI17" s="5">
        <v>6.0421507313428303E-2</v>
      </c>
      <c r="AJ17" s="6">
        <v>6204</v>
      </c>
      <c r="AK17" s="5">
        <v>6.3233855185910001E-2</v>
      </c>
      <c r="AL17" s="6">
        <v>5943</v>
      </c>
      <c r="AM17" s="5">
        <v>6.0655854826034201E-2</v>
      </c>
      <c r="AN17" s="6">
        <v>6293</v>
      </c>
      <c r="AO17" s="5">
        <v>6.4568755001949502E-2</v>
      </c>
      <c r="AP17" s="6">
        <v>6490</v>
      </c>
      <c r="AQ17" s="5">
        <v>6.6903767847018195E-2</v>
      </c>
      <c r="AR17" s="6">
        <v>6248</v>
      </c>
      <c r="AS17" s="5">
        <v>6.4659677736497306E-2</v>
      </c>
      <c r="AT17" s="6">
        <v>6174</v>
      </c>
      <c r="AU17" s="5">
        <v>6.3922307580808801E-2</v>
      </c>
      <c r="AV17" s="6">
        <v>6206</v>
      </c>
      <c r="AW17" s="5">
        <v>6.4932619067548297E-2</v>
      </c>
      <c r="AX17" s="6">
        <v>6359</v>
      </c>
      <c r="AY17" s="5">
        <v>6.7039871802981404E-2</v>
      </c>
      <c r="AZ17" s="6">
        <v>6359</v>
      </c>
      <c r="BA17" s="5">
        <v>6.7182234054916398E-2</v>
      </c>
      <c r="BB17" s="6">
        <v>6173</v>
      </c>
      <c r="BC17" s="5">
        <v>6.5745050216736101E-2</v>
      </c>
      <c r="BD17" s="6">
        <v>6342</v>
      </c>
      <c r="BE17" s="5">
        <v>6.9135425637447803E-2</v>
      </c>
      <c r="BF17" s="6">
        <v>6821</v>
      </c>
      <c r="BG17" s="5">
        <v>7.7352264093172002E-2</v>
      </c>
      <c r="BH17" s="6">
        <v>5961</v>
      </c>
      <c r="BI17" s="5">
        <v>6.9528197352306503E-2</v>
      </c>
      <c r="BJ17" s="6">
        <v>5820</v>
      </c>
      <c r="BK17" s="5">
        <v>6.9661388200653498E-2</v>
      </c>
      <c r="BL17" s="6">
        <v>5916</v>
      </c>
      <c r="BM17" s="5">
        <v>7.2471579772638198E-2</v>
      </c>
      <c r="BN17" s="6">
        <v>5943</v>
      </c>
      <c r="BO17" s="5">
        <v>7.4401892910349696E-2</v>
      </c>
      <c r="BP17" s="6">
        <v>5623</v>
      </c>
      <c r="BQ17" s="5">
        <v>7.1612328069281694E-2</v>
      </c>
      <c r="BR17" s="6">
        <v>5481</v>
      </c>
      <c r="BS17" s="5">
        <v>7.0190940873640903E-2</v>
      </c>
      <c r="BT17" s="6">
        <v>5808</v>
      </c>
      <c r="BU17" s="5">
        <v>7.6243485566509603E-2</v>
      </c>
      <c r="BV17" s="6">
        <v>5195</v>
      </c>
      <c r="BW17" s="5">
        <v>6.9580241622244202E-2</v>
      </c>
      <c r="BX17" s="6">
        <v>4944</v>
      </c>
      <c r="BY17" s="5">
        <v>6.8306161923183201E-2</v>
      </c>
      <c r="BZ17" s="6">
        <v>5126</v>
      </c>
      <c r="CA17" s="7">
        <v>7.1975175163930996E-2</v>
      </c>
      <c r="CB17" s="8">
        <v>7470</v>
      </c>
      <c r="CC17" s="9">
        <f>CB17/D17</f>
        <v>7.5941645910638941E-2</v>
      </c>
      <c r="CD17" s="8">
        <v>7700</v>
      </c>
      <c r="CE17" s="9">
        <v>7.8355551032868606E-2</v>
      </c>
      <c r="CF17" s="8">
        <v>7982</v>
      </c>
      <c r="CG17" s="9">
        <v>8.1701587561542305E-2</v>
      </c>
      <c r="CH17" s="8">
        <v>8147</v>
      </c>
      <c r="CI17" s="9">
        <v>8.3037752772341794E-2</v>
      </c>
      <c r="CJ17" s="8">
        <v>7375</v>
      </c>
      <c r="CK17" s="9">
        <v>7.5271231590442897E-2</v>
      </c>
      <c r="CL17" s="8">
        <v>7842</v>
      </c>
      <c r="CM17" s="9">
        <v>8.0462128829697693E-2</v>
      </c>
      <c r="CN17" s="8">
        <v>7938</v>
      </c>
      <c r="CO17" s="9">
        <v>8.1830833462192706E-2</v>
      </c>
      <c r="CP17" s="8">
        <v>8231</v>
      </c>
      <c r="CQ17" s="9">
        <v>8.5181467261381205E-2</v>
      </c>
      <c r="CR17" s="8">
        <v>8188</v>
      </c>
      <c r="CS17" s="9">
        <v>8.4774190876524505E-2</v>
      </c>
      <c r="CT17" s="8">
        <v>7844</v>
      </c>
      <c r="CU17" s="9">
        <v>8.2070812756340497E-2</v>
      </c>
      <c r="CV17" s="8">
        <v>7989</v>
      </c>
      <c r="CW17" s="9">
        <v>8.4224176102220299E-2</v>
      </c>
      <c r="CX17" s="8">
        <v>7914</v>
      </c>
      <c r="CY17" s="9">
        <v>8.3610662102627506E-2</v>
      </c>
      <c r="CZ17" s="8">
        <v>8176</v>
      </c>
      <c r="DA17" s="9">
        <v>8.7077843928727403E-2</v>
      </c>
      <c r="DB17" s="8">
        <v>7928</v>
      </c>
      <c r="DC17" s="9">
        <v>8.6424732648011093E-2</v>
      </c>
      <c r="DD17" s="8">
        <v>7845</v>
      </c>
      <c r="DE17" s="9">
        <v>8.8964742971841995E-2</v>
      </c>
      <c r="DF17" s="8">
        <v>7319</v>
      </c>
      <c r="DG17" s="9">
        <v>8.5367702805155404E-2</v>
      </c>
      <c r="DH17" s="8">
        <v>7033</v>
      </c>
      <c r="DI17" s="9">
        <v>8.4180162064466699E-2</v>
      </c>
      <c r="DJ17" s="8">
        <v>7187</v>
      </c>
      <c r="DK17" s="9">
        <v>8.8041454331634697E-2</v>
      </c>
      <c r="DL17" s="8">
        <v>6987</v>
      </c>
      <c r="DM17" s="9">
        <v>8.7471988181829594E-2</v>
      </c>
      <c r="DN17" s="8">
        <v>6975</v>
      </c>
      <c r="DO17" s="9">
        <v>8.8830871115639295E-2</v>
      </c>
      <c r="DP17" s="8">
        <v>7131</v>
      </c>
      <c r="DQ17" s="9">
        <v>9.1321218640746896E-2</v>
      </c>
      <c r="DR17" s="8">
        <v>6428</v>
      </c>
      <c r="DS17" s="9">
        <v>8.4382425141446907E-2</v>
      </c>
      <c r="DT17" s="8">
        <v>6559</v>
      </c>
      <c r="DU17" s="9">
        <v>8.7849240577536097E-2</v>
      </c>
      <c r="DV17" s="8">
        <v>5774</v>
      </c>
      <c r="DW17" s="9">
        <v>7.9773418071290403E-2</v>
      </c>
      <c r="DX17" s="8">
        <v>5552</v>
      </c>
      <c r="DY17" s="10">
        <v>7.7956725031241694E-2</v>
      </c>
      <c r="DZ17" s="72">
        <v>-1598</v>
      </c>
      <c r="EA17" s="73">
        <f>DZ17/D17</f>
        <v>-1.6245615818634675E-2</v>
      </c>
      <c r="EB17" s="72">
        <v>-1879</v>
      </c>
      <c r="EC17" s="73">
        <v>-1.9120789661137699E-2</v>
      </c>
      <c r="ED17" s="72">
        <v>-2079</v>
      </c>
      <c r="EE17" s="73">
        <v>-2.1280080248114099E-2</v>
      </c>
      <c r="EF17" s="72">
        <v>-1943</v>
      </c>
      <c r="EG17" s="73">
        <v>-1.98038975864318E-2</v>
      </c>
      <c r="EH17" s="72">
        <v>-1432</v>
      </c>
      <c r="EI17" s="73">
        <v>-1.4615376764408701E-2</v>
      </c>
      <c r="EJ17" s="72">
        <v>-1549</v>
      </c>
      <c r="EK17" s="73">
        <v>-1.5893373827748299E-2</v>
      </c>
      <c r="EL17" s="72">
        <v>-1448</v>
      </c>
      <c r="EM17" s="73">
        <v>-1.49270656151745E-2</v>
      </c>
      <c r="EN17" s="72">
        <v>-1983</v>
      </c>
      <c r="EO17" s="73">
        <v>-2.0521789524883802E-2</v>
      </c>
      <c r="EP17" s="72">
        <v>-2014</v>
      </c>
      <c r="EQ17" s="73">
        <v>-2.08518832957157E-2</v>
      </c>
      <c r="ER17" s="72">
        <v>-1638</v>
      </c>
      <c r="ES17" s="73">
        <v>-1.71381936887922E-2</v>
      </c>
      <c r="ET17" s="72">
        <v>-1630</v>
      </c>
      <c r="EU17" s="73">
        <v>-1.7184304299238801E-2</v>
      </c>
      <c r="EV17" s="72">
        <v>-1555</v>
      </c>
      <c r="EW17" s="73">
        <v>-1.6428428047711101E-2</v>
      </c>
      <c r="EX17" s="72">
        <v>-2003</v>
      </c>
      <c r="EY17" s="73">
        <v>-2.1332793711991298E-2</v>
      </c>
      <c r="EZ17" s="72">
        <v>-1586</v>
      </c>
      <c r="FA17" s="73">
        <v>-1.7289307010563301E-2</v>
      </c>
      <c r="FB17" s="72">
        <v>-1024</v>
      </c>
      <c r="FC17" s="73">
        <v>-1.161247887867E-2</v>
      </c>
      <c r="FD17" s="72">
        <v>-1358</v>
      </c>
      <c r="FE17" s="73">
        <v>-1.5839505452848901E-2</v>
      </c>
      <c r="FF17" s="72">
        <v>-1213</v>
      </c>
      <c r="FG17" s="73">
        <v>-1.45187738638132E-2</v>
      </c>
      <c r="FH17" s="72">
        <v>-1271</v>
      </c>
      <c r="FI17" s="73">
        <v>-1.5569874558996499E-2</v>
      </c>
      <c r="FJ17" s="72">
        <v>-1044</v>
      </c>
      <c r="FK17" s="73">
        <v>-1.30700952714799E-2</v>
      </c>
      <c r="FL17" s="72">
        <v>-1352</v>
      </c>
      <c r="FM17" s="73">
        <v>-1.7218543046357601E-2</v>
      </c>
      <c r="FN17" s="72">
        <v>-1650</v>
      </c>
      <c r="FO17" s="73">
        <v>-2.1130277767105899E-2</v>
      </c>
      <c r="FP17" s="72">
        <v>-620</v>
      </c>
      <c r="FQ17" s="73">
        <v>-8.1389395749373195E-3</v>
      </c>
      <c r="FR17" s="72">
        <v>-1364</v>
      </c>
      <c r="FS17" s="73">
        <v>-1.8268998955291799E-2</v>
      </c>
      <c r="FT17" s="72">
        <v>-830</v>
      </c>
      <c r="FU17" s="73">
        <v>-1.14672561481072E-2</v>
      </c>
      <c r="FV17" s="72">
        <v>-426</v>
      </c>
      <c r="FW17" s="74">
        <v>-5.9815498673106903E-3</v>
      </c>
      <c r="FX17" s="63">
        <v>1328</v>
      </c>
      <c r="FY17" s="64">
        <f>FX17/D17</f>
        <v>1.3500737050780257E-2</v>
      </c>
      <c r="FZ17" s="63">
        <v>1238</v>
      </c>
      <c r="GA17" s="64">
        <v>1.25979444387911E-2</v>
      </c>
      <c r="GB17" s="63">
        <v>1920</v>
      </c>
      <c r="GC17" s="64">
        <v>1.96525993633377E-2</v>
      </c>
      <c r="GD17" s="63">
        <v>759</v>
      </c>
      <c r="GE17" s="64">
        <v>7.7360567514677099E-3</v>
      </c>
      <c r="GF17" s="63">
        <v>847</v>
      </c>
      <c r="GG17" s="64">
        <v>8.6447095806244205E-3</v>
      </c>
      <c r="GH17" s="63">
        <v>1095</v>
      </c>
      <c r="GI17" s="64">
        <v>1.12351480577045E-2</v>
      </c>
      <c r="GJ17" s="63">
        <v>971</v>
      </c>
      <c r="GK17" s="64">
        <v>1.00097933096232E-2</v>
      </c>
      <c r="GL17" s="63">
        <v>1130</v>
      </c>
      <c r="GM17" s="64">
        <v>1.16942118825611E-2</v>
      </c>
      <c r="GN17" s="63">
        <v>977</v>
      </c>
      <c r="GO17" s="64">
        <v>1.0115337626571101E-2</v>
      </c>
      <c r="GP17" s="63">
        <v>1433</v>
      </c>
      <c r="GQ17" s="64">
        <v>1.49933037582657E-2</v>
      </c>
      <c r="GR17" s="63">
        <v>1401</v>
      </c>
      <c r="GS17" s="64">
        <v>1.4770067682965401E-2</v>
      </c>
      <c r="GT17" s="63">
        <v>836</v>
      </c>
      <c r="GU17" s="64">
        <v>8.8322609954253999E-3</v>
      </c>
      <c r="GV17" s="63">
        <v>1617</v>
      </c>
      <c r="GW17" s="64">
        <v>1.7221731119465799E-2</v>
      </c>
      <c r="GX17" s="63">
        <v>2585</v>
      </c>
      <c r="GY17" s="64">
        <v>2.81796082107857E-2</v>
      </c>
      <c r="GZ17" s="63">
        <v>2903</v>
      </c>
      <c r="HA17" s="64">
        <v>3.2920924008573299E-2</v>
      </c>
      <c r="HB17" s="63">
        <v>2700</v>
      </c>
      <c r="HC17" s="64">
        <v>3.1492389339242997E-2</v>
      </c>
      <c r="HD17" s="63">
        <v>2327</v>
      </c>
      <c r="HE17" s="64">
        <v>2.7852585969574E-2</v>
      </c>
      <c r="HF17" s="63">
        <v>2238</v>
      </c>
      <c r="HG17" s="64">
        <v>2.7415719325754598E-2</v>
      </c>
      <c r="HH17" s="63">
        <v>1768</v>
      </c>
      <c r="HI17" s="64">
        <v>2.21340310727744E-2</v>
      </c>
      <c r="HJ17" s="63">
        <v>1712</v>
      </c>
      <c r="HK17" s="64">
        <v>2.1803362200713199E-2</v>
      </c>
      <c r="HL17" s="63">
        <v>1172</v>
      </c>
      <c r="HM17" s="64">
        <v>1.50089003291201E-2</v>
      </c>
      <c r="HN17" s="63">
        <v>1719</v>
      </c>
      <c r="HO17" s="64">
        <v>2.2565866337608501E-2</v>
      </c>
      <c r="HP17" s="63">
        <v>2133</v>
      </c>
      <c r="HQ17" s="64">
        <v>2.8568749832578798E-2</v>
      </c>
      <c r="HR17" s="63">
        <v>2360</v>
      </c>
      <c r="HS17" s="64">
        <v>3.2605692180160302E-2</v>
      </c>
      <c r="HT17" s="63">
        <v>1003</v>
      </c>
      <c r="HU17" s="65">
        <v>1.4083320462236201E-2</v>
      </c>
    </row>
    <row r="18" spans="1:229" x14ac:dyDescent="0.3">
      <c r="A18" t="s">
        <v>31</v>
      </c>
      <c r="B18" t="s">
        <v>56</v>
      </c>
      <c r="C18" t="s">
        <v>32</v>
      </c>
      <c r="D18" s="3">
        <v>49293</v>
      </c>
      <c r="E18" s="25">
        <v>49323</v>
      </c>
      <c r="F18" s="25">
        <v>48837</v>
      </c>
      <c r="G18" s="25">
        <v>49196</v>
      </c>
      <c r="H18" s="25">
        <v>49678</v>
      </c>
      <c r="I18" s="25">
        <v>50267</v>
      </c>
      <c r="J18" s="25">
        <v>50002</v>
      </c>
      <c r="K18" s="25">
        <v>50471</v>
      </c>
      <c r="L18" s="25">
        <v>50659</v>
      </c>
      <c r="M18" s="25">
        <v>50472</v>
      </c>
      <c r="N18" s="25">
        <v>50460</v>
      </c>
      <c r="O18" s="25">
        <v>50377</v>
      </c>
      <c r="P18" s="25">
        <v>49492</v>
      </c>
      <c r="Q18" s="25">
        <v>48439</v>
      </c>
      <c r="R18" s="25">
        <v>46981</v>
      </c>
      <c r="S18" s="25">
        <v>45712</v>
      </c>
      <c r="T18" s="25">
        <v>45118</v>
      </c>
      <c r="U18" s="25">
        <v>44767</v>
      </c>
      <c r="V18" s="25">
        <v>44265</v>
      </c>
      <c r="W18" s="25">
        <v>43733</v>
      </c>
      <c r="X18" s="25">
        <v>43897</v>
      </c>
      <c r="Y18" s="25">
        <v>43395</v>
      </c>
      <c r="Z18" s="25">
        <v>42682</v>
      </c>
      <c r="AA18" s="25">
        <v>42254</v>
      </c>
      <c r="AB18" s="2">
        <v>42458</v>
      </c>
      <c r="AC18" s="1"/>
      <c r="AD18" s="4">
        <v>4331</v>
      </c>
      <c r="AE18" s="5">
        <f>AD18/D18</f>
        <v>8.7862373967906193E-2</v>
      </c>
      <c r="AF18" s="6">
        <v>4261</v>
      </c>
      <c r="AG18" s="5">
        <v>8.6389716764998098E-2</v>
      </c>
      <c r="AH18" s="6">
        <v>4235</v>
      </c>
      <c r="AI18" s="5">
        <v>8.6717038311116601E-2</v>
      </c>
      <c r="AJ18" s="6">
        <v>4219</v>
      </c>
      <c r="AK18" s="5">
        <v>8.5759004797137994E-2</v>
      </c>
      <c r="AL18" s="6">
        <v>3841</v>
      </c>
      <c r="AM18" s="5">
        <v>7.7317927452796004E-2</v>
      </c>
      <c r="AN18" s="6">
        <v>4385</v>
      </c>
      <c r="AO18" s="5">
        <v>8.7234169534684797E-2</v>
      </c>
      <c r="AP18" s="6">
        <v>4284</v>
      </c>
      <c r="AQ18" s="5">
        <v>8.5676572937082501E-2</v>
      </c>
      <c r="AR18" s="6">
        <v>4261</v>
      </c>
      <c r="AS18" s="5">
        <v>8.4424719145648003E-2</v>
      </c>
      <c r="AT18" s="6">
        <v>4110</v>
      </c>
      <c r="AU18" s="5">
        <v>8.1130697408160493E-2</v>
      </c>
      <c r="AV18" s="6">
        <v>4407</v>
      </c>
      <c r="AW18" s="5">
        <v>8.7315739419876401E-2</v>
      </c>
      <c r="AX18" s="6">
        <v>4430</v>
      </c>
      <c r="AY18" s="5">
        <v>8.7792310741181101E-2</v>
      </c>
      <c r="AZ18" s="6">
        <v>4399</v>
      </c>
      <c r="BA18" s="5">
        <v>8.7321595172400096E-2</v>
      </c>
      <c r="BB18" s="6">
        <v>4192</v>
      </c>
      <c r="BC18" s="5">
        <v>8.4700557665885398E-2</v>
      </c>
      <c r="BD18" s="6">
        <v>4276</v>
      </c>
      <c r="BE18" s="5">
        <v>8.8275975969776405E-2</v>
      </c>
      <c r="BF18" s="6">
        <v>4581</v>
      </c>
      <c r="BG18" s="5">
        <v>9.7507503033141096E-2</v>
      </c>
      <c r="BH18" s="6">
        <v>3849</v>
      </c>
      <c r="BI18" s="5">
        <v>8.4201085054252695E-2</v>
      </c>
      <c r="BJ18" s="6">
        <v>3850</v>
      </c>
      <c r="BK18" s="5">
        <v>8.5331796622190703E-2</v>
      </c>
      <c r="BL18" s="6">
        <v>3686</v>
      </c>
      <c r="BM18" s="5">
        <v>8.2337436057810395E-2</v>
      </c>
      <c r="BN18" s="6">
        <v>3804</v>
      </c>
      <c r="BO18" s="5">
        <v>8.5936970518468297E-2</v>
      </c>
      <c r="BP18" s="6">
        <v>3858</v>
      </c>
      <c r="BQ18" s="5">
        <v>8.8217135801339996E-2</v>
      </c>
      <c r="BR18" s="6">
        <v>3688</v>
      </c>
      <c r="BS18" s="5">
        <v>8.4014852951226696E-2</v>
      </c>
      <c r="BT18" s="6">
        <v>3843</v>
      </c>
      <c r="BU18" s="5">
        <v>8.8558589699274104E-2</v>
      </c>
      <c r="BV18" s="6">
        <v>3615</v>
      </c>
      <c r="BW18" s="5">
        <v>8.4696124830139205E-2</v>
      </c>
      <c r="BX18" s="6">
        <v>3670</v>
      </c>
      <c r="BY18" s="5">
        <v>8.6855682302267201E-2</v>
      </c>
      <c r="BZ18" s="6">
        <v>3662</v>
      </c>
      <c r="CA18" s="7">
        <v>8.6249941118281603E-2</v>
      </c>
      <c r="CB18" s="8">
        <v>5749</v>
      </c>
      <c r="CC18" s="9">
        <f>CB18/D18</f>
        <v>0.11662913598279674</v>
      </c>
      <c r="CD18" s="8">
        <v>5521</v>
      </c>
      <c r="CE18" s="9">
        <v>0.111935608134136</v>
      </c>
      <c r="CF18" s="8">
        <v>5742</v>
      </c>
      <c r="CG18" s="9">
        <v>0.117574789606241</v>
      </c>
      <c r="CH18" s="8">
        <v>5977</v>
      </c>
      <c r="CI18" s="9">
        <v>0.12149361736726599</v>
      </c>
      <c r="CJ18" s="8">
        <v>5394</v>
      </c>
      <c r="CK18" s="9">
        <v>0.108579250372398</v>
      </c>
      <c r="CL18" s="8">
        <v>6016</v>
      </c>
      <c r="CM18" s="9">
        <v>0.119680903972785</v>
      </c>
      <c r="CN18" s="8">
        <v>5619</v>
      </c>
      <c r="CO18" s="9">
        <v>0.11237550497980101</v>
      </c>
      <c r="CP18" s="8">
        <v>5926</v>
      </c>
      <c r="CQ18" s="9">
        <v>0.117413960492164</v>
      </c>
      <c r="CR18" s="8">
        <v>5693</v>
      </c>
      <c r="CS18" s="9">
        <v>0.112378846799187</v>
      </c>
      <c r="CT18" s="8">
        <v>5636</v>
      </c>
      <c r="CU18" s="9">
        <v>0.11166587414804199</v>
      </c>
      <c r="CV18" s="8">
        <v>5687</v>
      </c>
      <c r="CW18" s="9">
        <v>0.112703131193024</v>
      </c>
      <c r="CX18" s="8">
        <v>5982</v>
      </c>
      <c r="CY18" s="9">
        <v>0.118744665224209</v>
      </c>
      <c r="CZ18" s="8">
        <v>5721</v>
      </c>
      <c r="DA18" s="9">
        <v>0.115594439505375</v>
      </c>
      <c r="DB18" s="8">
        <v>5554</v>
      </c>
      <c r="DC18" s="9">
        <v>0.11465967505522399</v>
      </c>
      <c r="DD18" s="8">
        <v>5786</v>
      </c>
      <c r="DE18" s="9">
        <v>0.12315616951533601</v>
      </c>
      <c r="DF18" s="8">
        <v>4998</v>
      </c>
      <c r="DG18" s="9">
        <v>0.10933671683584199</v>
      </c>
      <c r="DH18" s="8">
        <v>5207</v>
      </c>
      <c r="DI18" s="9">
        <v>0.11540848441863601</v>
      </c>
      <c r="DJ18" s="8">
        <v>5225</v>
      </c>
      <c r="DK18" s="9">
        <v>0.116715437710814</v>
      </c>
      <c r="DL18" s="8">
        <v>5402</v>
      </c>
      <c r="DM18" s="9">
        <v>0.122037727324071</v>
      </c>
      <c r="DN18" s="8">
        <v>5210</v>
      </c>
      <c r="DO18" s="9">
        <v>0.119132005579311</v>
      </c>
      <c r="DP18" s="8">
        <v>5045</v>
      </c>
      <c r="DQ18" s="9">
        <v>0.114928127206871</v>
      </c>
      <c r="DR18" s="8">
        <v>4711</v>
      </c>
      <c r="DS18" s="9">
        <v>0.108560894112225</v>
      </c>
      <c r="DT18" s="8">
        <v>4570</v>
      </c>
      <c r="DU18" s="9">
        <v>0.107070896396607</v>
      </c>
      <c r="DV18" s="8">
        <v>4502</v>
      </c>
      <c r="DW18" s="9">
        <v>0.106546125810574</v>
      </c>
      <c r="DX18" s="8">
        <v>4604</v>
      </c>
      <c r="DY18" s="10">
        <v>0.108436572612935</v>
      </c>
      <c r="DZ18" s="72">
        <v>-1418</v>
      </c>
      <c r="EA18" s="73">
        <f>DZ18/D18</f>
        <v>-2.8766762014890552E-2</v>
      </c>
      <c r="EB18" s="72">
        <v>-1260</v>
      </c>
      <c r="EC18" s="73">
        <v>-2.55458913691381E-2</v>
      </c>
      <c r="ED18" s="72">
        <v>-1507</v>
      </c>
      <c r="EE18" s="73">
        <v>-3.0857751295124601E-2</v>
      </c>
      <c r="EF18" s="72">
        <v>-1758</v>
      </c>
      <c r="EG18" s="73">
        <v>-3.5734612570127701E-2</v>
      </c>
      <c r="EH18" s="72">
        <v>-1553</v>
      </c>
      <c r="EI18" s="73">
        <v>-3.1261322919602201E-2</v>
      </c>
      <c r="EJ18" s="72">
        <v>-1631</v>
      </c>
      <c r="EK18" s="73">
        <v>-3.2446734438100498E-2</v>
      </c>
      <c r="EL18" s="72">
        <v>-1335</v>
      </c>
      <c r="EM18" s="73">
        <v>-2.6698932042718299E-2</v>
      </c>
      <c r="EN18" s="72">
        <v>-1665</v>
      </c>
      <c r="EO18" s="73">
        <v>-3.2989241346515798E-2</v>
      </c>
      <c r="EP18" s="72">
        <v>-1583</v>
      </c>
      <c r="EQ18" s="73">
        <v>-3.1248149391026301E-2</v>
      </c>
      <c r="ER18" s="72">
        <v>-1229</v>
      </c>
      <c r="ES18" s="73">
        <v>-2.4350134728166099E-2</v>
      </c>
      <c r="ET18" s="72">
        <v>-1257</v>
      </c>
      <c r="EU18" s="73">
        <v>-2.4910820451843001E-2</v>
      </c>
      <c r="EV18" s="72">
        <v>-1583</v>
      </c>
      <c r="EW18" s="73">
        <v>-3.1423070051809401E-2</v>
      </c>
      <c r="EX18" s="72">
        <v>-1529</v>
      </c>
      <c r="EY18" s="73">
        <v>-3.0893881839489198E-2</v>
      </c>
      <c r="EZ18" s="72">
        <v>-1278</v>
      </c>
      <c r="FA18" s="73">
        <v>-2.6383699085447701E-2</v>
      </c>
      <c r="FB18" s="72">
        <v>-1205</v>
      </c>
      <c r="FC18" s="73">
        <v>-2.5648666482194899E-2</v>
      </c>
      <c r="FD18" s="72">
        <v>-1149</v>
      </c>
      <c r="FE18" s="73">
        <v>-2.5135631781589101E-2</v>
      </c>
      <c r="FF18" s="72">
        <v>-1357</v>
      </c>
      <c r="FG18" s="73">
        <v>-3.0076687796444901E-2</v>
      </c>
      <c r="FH18" s="72">
        <v>-1539</v>
      </c>
      <c r="FI18" s="73">
        <v>-3.4378001653003303E-2</v>
      </c>
      <c r="FJ18" s="72">
        <v>-1598</v>
      </c>
      <c r="FK18" s="73">
        <v>-3.6100756805602603E-2</v>
      </c>
      <c r="FL18" s="72">
        <v>-1352</v>
      </c>
      <c r="FM18" s="73">
        <v>-3.0914869777970901E-2</v>
      </c>
      <c r="FN18" s="72">
        <v>-1357</v>
      </c>
      <c r="FO18" s="73">
        <v>-3.0913274255643899E-2</v>
      </c>
      <c r="FP18" s="72">
        <v>-868</v>
      </c>
      <c r="FQ18" s="73">
        <v>-2.0002304412950801E-2</v>
      </c>
      <c r="FR18" s="72">
        <v>-955</v>
      </c>
      <c r="FS18" s="73">
        <v>-2.2374771566468301E-2</v>
      </c>
      <c r="FT18" s="72">
        <v>-832</v>
      </c>
      <c r="FU18" s="73">
        <v>-1.9690443508306898E-2</v>
      </c>
      <c r="FV18" s="72">
        <v>-942</v>
      </c>
      <c r="FW18" s="74">
        <v>-2.2186631494653501E-2</v>
      </c>
      <c r="FX18" s="63">
        <v>879</v>
      </c>
      <c r="FY18" s="64">
        <f>FX18/D18</f>
        <v>1.7832146552248799E-2</v>
      </c>
      <c r="FZ18" s="63">
        <v>1014</v>
      </c>
      <c r="GA18" s="64">
        <v>2.05583601970683E-2</v>
      </c>
      <c r="GB18" s="63">
        <v>1758</v>
      </c>
      <c r="GC18" s="64">
        <v>3.5997297131273399E-2</v>
      </c>
      <c r="GD18" s="63">
        <v>1066</v>
      </c>
      <c r="GE18" s="64">
        <v>2.16684283275063E-2</v>
      </c>
      <c r="GF18" s="63">
        <v>746</v>
      </c>
      <c r="GG18" s="64">
        <v>1.50167075969242E-2</v>
      </c>
      <c r="GH18" s="63">
        <v>849</v>
      </c>
      <c r="GI18" s="64">
        <v>1.68898084230211E-2</v>
      </c>
      <c r="GJ18" s="63">
        <v>1247</v>
      </c>
      <c r="GK18" s="64">
        <v>2.4939002439902401E-2</v>
      </c>
      <c r="GL18" s="63">
        <v>678</v>
      </c>
      <c r="GM18" s="64">
        <v>1.34334568365992E-2</v>
      </c>
      <c r="GN18" s="63">
        <v>893</v>
      </c>
      <c r="GO18" s="64">
        <v>1.7627667344400799E-2</v>
      </c>
      <c r="GP18" s="63">
        <v>844</v>
      </c>
      <c r="GQ18" s="64">
        <v>1.6722142970359798E-2</v>
      </c>
      <c r="GR18" s="63">
        <v>789</v>
      </c>
      <c r="GS18" s="64">
        <v>1.5636147443519599E-2</v>
      </c>
      <c r="GT18" s="63">
        <v>1080</v>
      </c>
      <c r="GU18" s="64">
        <v>2.1438354804771999E-2</v>
      </c>
      <c r="GV18" s="63">
        <v>1862</v>
      </c>
      <c r="GW18" s="64">
        <v>3.76222419785016E-2</v>
      </c>
      <c r="GX18" s="63">
        <v>1760</v>
      </c>
      <c r="GY18" s="64">
        <v>3.6334358677924797E-2</v>
      </c>
      <c r="GZ18" s="63">
        <v>2021</v>
      </c>
      <c r="HA18" s="64">
        <v>4.3017390008726897E-2</v>
      </c>
      <c r="HB18" s="63">
        <v>1970</v>
      </c>
      <c r="HC18" s="64">
        <v>4.3095904795239802E-2</v>
      </c>
      <c r="HD18" s="63">
        <v>1479</v>
      </c>
      <c r="HE18" s="64">
        <v>3.27807083647325E-2</v>
      </c>
      <c r="HF18" s="63">
        <v>1536</v>
      </c>
      <c r="HG18" s="64">
        <v>3.4310988004556897E-2</v>
      </c>
      <c r="HH18" s="63">
        <v>1536</v>
      </c>
      <c r="HI18" s="64">
        <v>3.4700101660454098E-2</v>
      </c>
      <c r="HJ18" s="63">
        <v>1400</v>
      </c>
      <c r="HK18" s="64">
        <v>3.2012439119200597E-2</v>
      </c>
      <c r="HL18" s="63">
        <v>793</v>
      </c>
      <c r="HM18" s="64">
        <v>1.8065015832517E-2</v>
      </c>
      <c r="HN18" s="63">
        <v>916</v>
      </c>
      <c r="HO18" s="64">
        <v>2.11084226293352E-2</v>
      </c>
      <c r="HP18" s="63">
        <v>1323</v>
      </c>
      <c r="HQ18" s="64">
        <v>3.09966730706152E-2</v>
      </c>
      <c r="HR18" s="63">
        <v>934</v>
      </c>
      <c r="HS18" s="64">
        <v>2.21044161499503E-2</v>
      </c>
      <c r="HT18" s="63">
        <v>375</v>
      </c>
      <c r="HU18" s="65">
        <v>8.8322577606104909E-3</v>
      </c>
    </row>
    <row r="19" spans="1:229" x14ac:dyDescent="0.3">
      <c r="A19" t="s">
        <v>33</v>
      </c>
      <c r="B19" t="s">
        <v>57</v>
      </c>
      <c r="C19" t="s">
        <v>34</v>
      </c>
      <c r="D19" s="3">
        <v>26895</v>
      </c>
      <c r="E19" s="25">
        <v>27068</v>
      </c>
      <c r="F19" s="25">
        <v>26965</v>
      </c>
      <c r="G19" s="25">
        <v>27124</v>
      </c>
      <c r="H19" s="25">
        <v>27497</v>
      </c>
      <c r="I19" s="25">
        <v>27457</v>
      </c>
      <c r="J19" s="25">
        <v>27032</v>
      </c>
      <c r="K19" s="25">
        <v>27115</v>
      </c>
      <c r="L19" s="25">
        <v>27402</v>
      </c>
      <c r="M19" s="25">
        <v>27332</v>
      </c>
      <c r="N19" s="25">
        <v>27447</v>
      </c>
      <c r="O19" s="25">
        <v>27207</v>
      </c>
      <c r="P19" s="25">
        <v>27134</v>
      </c>
      <c r="Q19" s="25">
        <v>27358</v>
      </c>
      <c r="R19" s="25">
        <v>26338</v>
      </c>
      <c r="S19" s="25">
        <v>25185</v>
      </c>
      <c r="T19" s="25">
        <v>24102</v>
      </c>
      <c r="U19" s="25">
        <v>23785</v>
      </c>
      <c r="V19" s="25">
        <v>23557</v>
      </c>
      <c r="W19" s="25">
        <v>23142</v>
      </c>
      <c r="X19" s="25">
        <v>23047</v>
      </c>
      <c r="Y19" s="25">
        <v>23070</v>
      </c>
      <c r="Z19" s="25">
        <v>22750</v>
      </c>
      <c r="AA19" s="25">
        <v>22208</v>
      </c>
      <c r="AB19" s="2">
        <v>22097</v>
      </c>
      <c r="AC19" s="1"/>
      <c r="AD19" s="4">
        <v>1928</v>
      </c>
      <c r="AE19" s="5">
        <f>AD19/D19</f>
        <v>7.1686187023610334E-2</v>
      </c>
      <c r="AF19" s="6">
        <v>1996</v>
      </c>
      <c r="AG19" s="5">
        <v>7.3740209841879706E-2</v>
      </c>
      <c r="AH19" s="6">
        <v>2113</v>
      </c>
      <c r="AI19" s="5">
        <v>7.8360838123493398E-2</v>
      </c>
      <c r="AJ19" s="6">
        <v>1932</v>
      </c>
      <c r="AK19" s="5">
        <v>7.1228432384603996E-2</v>
      </c>
      <c r="AL19" s="6">
        <v>1898</v>
      </c>
      <c r="AM19" s="5">
        <v>6.9025711895843195E-2</v>
      </c>
      <c r="AN19" s="6">
        <v>2164</v>
      </c>
      <c r="AO19" s="5">
        <v>7.8814145755180795E-2</v>
      </c>
      <c r="AP19" s="6">
        <v>2228</v>
      </c>
      <c r="AQ19" s="5">
        <v>8.2420834566439796E-2</v>
      </c>
      <c r="AR19" s="6">
        <v>2308</v>
      </c>
      <c r="AS19" s="5">
        <v>8.5118937857274604E-2</v>
      </c>
      <c r="AT19" s="6">
        <v>2178</v>
      </c>
      <c r="AU19" s="5">
        <v>7.94832493978542E-2</v>
      </c>
      <c r="AV19" s="6">
        <v>2299</v>
      </c>
      <c r="AW19" s="5">
        <v>8.4113859212644498E-2</v>
      </c>
      <c r="AX19" s="6">
        <v>2048</v>
      </c>
      <c r="AY19" s="5">
        <v>7.4616533683098299E-2</v>
      </c>
      <c r="AZ19" s="6">
        <v>2113</v>
      </c>
      <c r="BA19" s="5">
        <v>7.7663836512662204E-2</v>
      </c>
      <c r="BB19" s="6">
        <v>1794</v>
      </c>
      <c r="BC19" s="5">
        <v>6.6116311638534694E-2</v>
      </c>
      <c r="BD19" s="6">
        <v>1698</v>
      </c>
      <c r="BE19" s="5">
        <v>6.2065940492726103E-2</v>
      </c>
      <c r="BF19" s="6">
        <v>1963</v>
      </c>
      <c r="BG19" s="5">
        <v>7.4531095755182603E-2</v>
      </c>
      <c r="BH19" s="6">
        <v>1935</v>
      </c>
      <c r="BI19" s="5">
        <v>7.6831447290053603E-2</v>
      </c>
      <c r="BJ19" s="6">
        <v>1853</v>
      </c>
      <c r="BK19" s="5">
        <v>7.6881586590324499E-2</v>
      </c>
      <c r="BL19" s="6">
        <v>1701</v>
      </c>
      <c r="BM19" s="5">
        <v>7.15156611309649E-2</v>
      </c>
      <c r="BN19" s="6">
        <v>1830</v>
      </c>
      <c r="BO19" s="5">
        <v>7.7683915608948495E-2</v>
      </c>
      <c r="BP19" s="6">
        <v>1843</v>
      </c>
      <c r="BQ19" s="5">
        <v>7.9638752052545198E-2</v>
      </c>
      <c r="BR19" s="6">
        <v>1823</v>
      </c>
      <c r="BS19" s="5">
        <v>7.9099232004165396E-2</v>
      </c>
      <c r="BT19" s="6">
        <v>1627</v>
      </c>
      <c r="BU19" s="5">
        <v>7.0524490680537497E-2</v>
      </c>
      <c r="BV19" s="6">
        <v>1564</v>
      </c>
      <c r="BW19" s="5">
        <v>6.8747252747252699E-2</v>
      </c>
      <c r="BX19" s="6">
        <v>1413</v>
      </c>
      <c r="BY19" s="5">
        <v>6.3625720461095103E-2</v>
      </c>
      <c r="BZ19" s="6">
        <v>1467</v>
      </c>
      <c r="CA19" s="7">
        <v>6.6389102593112204E-2</v>
      </c>
      <c r="CB19" s="8">
        <v>2902</v>
      </c>
      <c r="CC19" s="9">
        <f>CB19/D19</f>
        <v>0.10790109685815208</v>
      </c>
      <c r="CD19" s="8">
        <v>3020</v>
      </c>
      <c r="CE19" s="9">
        <v>0.11157085857839499</v>
      </c>
      <c r="CF19" s="8">
        <v>3226</v>
      </c>
      <c r="CG19" s="9">
        <v>0.11963656591878399</v>
      </c>
      <c r="CH19" s="8">
        <v>3128</v>
      </c>
      <c r="CI19" s="9">
        <v>0.115322223860787</v>
      </c>
      <c r="CJ19" s="8">
        <v>3021</v>
      </c>
      <c r="CK19" s="9">
        <v>0.109866530894279</v>
      </c>
      <c r="CL19" s="8">
        <v>3374</v>
      </c>
      <c r="CM19" s="9">
        <v>0.12288305350183901</v>
      </c>
      <c r="CN19" s="8">
        <v>3137</v>
      </c>
      <c r="CO19" s="9">
        <v>0.116047647232909</v>
      </c>
      <c r="CP19" s="8">
        <v>3356</v>
      </c>
      <c r="CQ19" s="9">
        <v>0.12376913147704199</v>
      </c>
      <c r="CR19" s="8">
        <v>3131</v>
      </c>
      <c r="CS19" s="9">
        <v>0.114261732720239</v>
      </c>
      <c r="CT19" s="8">
        <v>3233</v>
      </c>
      <c r="CU19" s="9">
        <v>0.118286257866237</v>
      </c>
      <c r="CV19" s="8">
        <v>3397</v>
      </c>
      <c r="CW19" s="9">
        <v>0.123765803184319</v>
      </c>
      <c r="CX19" s="8">
        <v>3152</v>
      </c>
      <c r="CY19" s="9">
        <v>0.115852537949792</v>
      </c>
      <c r="CZ19" s="8">
        <v>3084</v>
      </c>
      <c r="DA19" s="9">
        <v>0.113658141077615</v>
      </c>
      <c r="DB19" s="8">
        <v>3223</v>
      </c>
      <c r="DC19" s="9">
        <v>0.117808319321588</v>
      </c>
      <c r="DD19" s="8">
        <v>3398</v>
      </c>
      <c r="DE19" s="9">
        <v>0.12901511124610801</v>
      </c>
      <c r="DF19" s="8">
        <v>2869</v>
      </c>
      <c r="DG19" s="9">
        <v>0.11391701409569201</v>
      </c>
      <c r="DH19" s="8">
        <v>2808</v>
      </c>
      <c r="DI19" s="9">
        <v>0.116504854368932</v>
      </c>
      <c r="DJ19" s="8">
        <v>2844</v>
      </c>
      <c r="DK19" s="9">
        <v>0.119571158293042</v>
      </c>
      <c r="DL19" s="8">
        <v>2938</v>
      </c>
      <c r="DM19" s="9">
        <v>0.124718767245405</v>
      </c>
      <c r="DN19" s="8">
        <v>2755</v>
      </c>
      <c r="DO19" s="9">
        <v>0.119047619047619</v>
      </c>
      <c r="DP19" s="8">
        <v>2927</v>
      </c>
      <c r="DQ19" s="9">
        <v>0.12700134507745001</v>
      </c>
      <c r="DR19" s="8">
        <v>2530</v>
      </c>
      <c r="DS19" s="9">
        <v>0.10966623320329399</v>
      </c>
      <c r="DT19" s="8">
        <v>2567</v>
      </c>
      <c r="DU19" s="9">
        <v>0.11283516483516499</v>
      </c>
      <c r="DV19" s="8">
        <v>2241</v>
      </c>
      <c r="DW19" s="9">
        <v>0.100909582132565</v>
      </c>
      <c r="DX19" s="8">
        <v>2234</v>
      </c>
      <c r="DY19" s="10">
        <v>0.10109969679142</v>
      </c>
      <c r="DZ19" s="72">
        <v>-974</v>
      </c>
      <c r="EA19" s="73">
        <f>DZ19/D19</f>
        <v>-3.6214909834541738E-2</v>
      </c>
      <c r="EB19" s="72">
        <v>-1024</v>
      </c>
      <c r="EC19" s="73">
        <v>-3.7830648736515399E-2</v>
      </c>
      <c r="ED19" s="72">
        <v>-1113</v>
      </c>
      <c r="EE19" s="73">
        <v>-4.12757277952902E-2</v>
      </c>
      <c r="EF19" s="72">
        <v>-1196</v>
      </c>
      <c r="EG19" s="73">
        <v>-4.4093791476183503E-2</v>
      </c>
      <c r="EH19" s="72">
        <v>-1123</v>
      </c>
      <c r="EI19" s="73">
        <v>-4.0840818998436203E-2</v>
      </c>
      <c r="EJ19" s="72">
        <v>-1210</v>
      </c>
      <c r="EK19" s="73">
        <v>-4.4068907746658399E-2</v>
      </c>
      <c r="EL19" s="72">
        <v>-909</v>
      </c>
      <c r="EM19" s="73">
        <v>-3.3626812666469399E-2</v>
      </c>
      <c r="EN19" s="72">
        <v>-1048</v>
      </c>
      <c r="EO19" s="73">
        <v>-3.8650193619767702E-2</v>
      </c>
      <c r="EP19" s="72">
        <v>-953</v>
      </c>
      <c r="EQ19" s="73">
        <v>-3.4778483322385201E-2</v>
      </c>
      <c r="ER19" s="72">
        <v>-934</v>
      </c>
      <c r="ES19" s="73">
        <v>-3.4172398653592902E-2</v>
      </c>
      <c r="ET19" s="72">
        <v>-1349</v>
      </c>
      <c r="EU19" s="73">
        <v>-4.9149269501220498E-2</v>
      </c>
      <c r="EV19" s="72">
        <v>-1039</v>
      </c>
      <c r="EW19" s="73">
        <v>-3.8188701437130199E-2</v>
      </c>
      <c r="EX19" s="72">
        <v>-1290</v>
      </c>
      <c r="EY19" s="73">
        <v>-4.7541829439080099E-2</v>
      </c>
      <c r="EZ19" s="72">
        <v>-1525</v>
      </c>
      <c r="FA19" s="73">
        <v>-5.5742378828861801E-2</v>
      </c>
      <c r="FB19" s="72">
        <v>-1435</v>
      </c>
      <c r="FC19" s="73">
        <v>-5.44840154909257E-2</v>
      </c>
      <c r="FD19" s="72">
        <v>-934</v>
      </c>
      <c r="FE19" s="73">
        <v>-3.7085566805638299E-2</v>
      </c>
      <c r="FF19" s="72">
        <v>-955</v>
      </c>
      <c r="FG19" s="73">
        <v>-3.9623267778607599E-2</v>
      </c>
      <c r="FH19" s="72">
        <v>-1143</v>
      </c>
      <c r="FI19" s="73">
        <v>-4.8055497162076903E-2</v>
      </c>
      <c r="FJ19" s="72">
        <v>-1108</v>
      </c>
      <c r="FK19" s="73">
        <v>-4.70348516364563E-2</v>
      </c>
      <c r="FL19" s="72">
        <v>-912</v>
      </c>
      <c r="FM19" s="73">
        <v>-3.9408866995073899E-2</v>
      </c>
      <c r="FN19" s="72">
        <v>-1104</v>
      </c>
      <c r="FO19" s="73">
        <v>-4.7902113073284999E-2</v>
      </c>
      <c r="FP19" s="72">
        <v>-903</v>
      </c>
      <c r="FQ19" s="73">
        <v>-3.9141742522756803E-2</v>
      </c>
      <c r="FR19" s="72">
        <v>-1003</v>
      </c>
      <c r="FS19" s="73">
        <v>-4.4087912087912101E-2</v>
      </c>
      <c r="FT19" s="72">
        <v>-828</v>
      </c>
      <c r="FU19" s="73">
        <v>-3.7283861671469701E-2</v>
      </c>
      <c r="FV19" s="72">
        <v>-767</v>
      </c>
      <c r="FW19" s="74">
        <v>-3.47105941983075E-2</v>
      </c>
      <c r="FX19" s="63">
        <v>1161</v>
      </c>
      <c r="FY19" s="64">
        <f>FX19/D19</f>
        <v>4.3167875069715561E-2</v>
      </c>
      <c r="FZ19" s="63">
        <v>728</v>
      </c>
      <c r="GA19" s="64">
        <v>2.68952268361164E-2</v>
      </c>
      <c r="GB19" s="63">
        <v>994</v>
      </c>
      <c r="GC19" s="64">
        <v>3.6862599666234001E-2</v>
      </c>
      <c r="GD19" s="63">
        <v>903</v>
      </c>
      <c r="GE19" s="64">
        <v>3.3291549918891002E-2</v>
      </c>
      <c r="GF19" s="63">
        <v>548</v>
      </c>
      <c r="GG19" s="64">
        <v>1.99294468487471E-2</v>
      </c>
      <c r="GH19" s="63">
        <v>1004</v>
      </c>
      <c r="GI19" s="64">
        <v>3.6566267254252098E-2</v>
      </c>
      <c r="GJ19" s="63">
        <v>1048</v>
      </c>
      <c r="GK19" s="64">
        <v>3.8768866528558703E-2</v>
      </c>
      <c r="GL19" s="63">
        <v>730</v>
      </c>
      <c r="GM19" s="64">
        <v>2.69223676931588E-2</v>
      </c>
      <c r="GN19" s="63">
        <v>375</v>
      </c>
      <c r="GO19" s="64">
        <v>1.3685132472082299E-2</v>
      </c>
      <c r="GP19" s="63">
        <v>636</v>
      </c>
      <c r="GQ19" s="64">
        <v>2.32694277769647E-2</v>
      </c>
      <c r="GR19" s="63">
        <v>891</v>
      </c>
      <c r="GS19" s="64">
        <v>3.2462564214668303E-2</v>
      </c>
      <c r="GT19" s="63">
        <v>1024</v>
      </c>
      <c r="GU19" s="64">
        <v>3.7637372734957902E-2</v>
      </c>
      <c r="GV19" s="63">
        <v>968</v>
      </c>
      <c r="GW19" s="64">
        <v>3.5674799144984101E-2</v>
      </c>
      <c r="GX19" s="63">
        <v>930</v>
      </c>
      <c r="GY19" s="64">
        <v>3.3993712990715699E-2</v>
      </c>
      <c r="GZ19" s="63">
        <v>1902</v>
      </c>
      <c r="HA19" s="64">
        <v>7.2215050497380195E-2</v>
      </c>
      <c r="HB19" s="63">
        <v>1669</v>
      </c>
      <c r="HC19" s="64">
        <v>6.6269604923565595E-2</v>
      </c>
      <c r="HD19" s="63">
        <v>1632</v>
      </c>
      <c r="HE19" s="64">
        <v>6.7712223052028897E-2</v>
      </c>
      <c r="HF19" s="63">
        <v>1018</v>
      </c>
      <c r="HG19" s="64">
        <v>4.2800084086609201E-2</v>
      </c>
      <c r="HH19" s="63">
        <v>942</v>
      </c>
      <c r="HI19" s="64">
        <v>3.9988113936409601E-2</v>
      </c>
      <c r="HJ19" s="63">
        <v>915</v>
      </c>
      <c r="HK19" s="64">
        <v>3.95385014259787E-2</v>
      </c>
      <c r="HL19" s="63">
        <v>792</v>
      </c>
      <c r="HM19" s="64">
        <v>3.4364559378661001E-2</v>
      </c>
      <c r="HN19" s="63">
        <v>571</v>
      </c>
      <c r="HO19" s="64">
        <v>2.4750758560901601E-2</v>
      </c>
      <c r="HP19" s="63">
        <v>943</v>
      </c>
      <c r="HQ19" s="64">
        <v>4.14505494505494E-2</v>
      </c>
      <c r="HR19" s="63">
        <v>1023</v>
      </c>
      <c r="HS19" s="64">
        <v>4.6064481268011499E-2</v>
      </c>
      <c r="HT19" s="63">
        <v>480</v>
      </c>
      <c r="HU19" s="65">
        <v>2.17224057564375E-2</v>
      </c>
    </row>
    <row r="20" spans="1:229" x14ac:dyDescent="0.3">
      <c r="A20" t="s">
        <v>35</v>
      </c>
      <c r="B20" t="s">
        <v>59</v>
      </c>
      <c r="C20" t="s">
        <v>36</v>
      </c>
      <c r="D20" s="3">
        <v>130405</v>
      </c>
      <c r="E20" s="25">
        <v>130775</v>
      </c>
      <c r="F20" s="25">
        <v>130690</v>
      </c>
      <c r="G20" s="25">
        <v>131451</v>
      </c>
      <c r="H20" s="25">
        <v>132799</v>
      </c>
      <c r="I20" s="25">
        <v>133309</v>
      </c>
      <c r="J20" s="25">
        <v>133010</v>
      </c>
      <c r="K20" s="25">
        <v>133042</v>
      </c>
      <c r="L20" s="25">
        <v>132590</v>
      </c>
      <c r="M20" s="25">
        <v>131030</v>
      </c>
      <c r="N20" s="25">
        <v>131604</v>
      </c>
      <c r="O20" s="25">
        <v>130587</v>
      </c>
      <c r="P20" s="25">
        <v>127747</v>
      </c>
      <c r="Q20" s="25">
        <v>125656</v>
      </c>
      <c r="R20" s="25">
        <v>121232</v>
      </c>
      <c r="S20" s="25">
        <v>118275</v>
      </c>
      <c r="T20" s="25">
        <v>116049</v>
      </c>
      <c r="U20" s="25">
        <v>113493</v>
      </c>
      <c r="V20" s="25">
        <v>111946</v>
      </c>
      <c r="W20" s="25">
        <v>110375</v>
      </c>
      <c r="X20" s="25">
        <v>110253</v>
      </c>
      <c r="Y20" s="25">
        <v>109138</v>
      </c>
      <c r="Z20" s="25">
        <v>107736</v>
      </c>
      <c r="AA20" s="25">
        <v>106641</v>
      </c>
      <c r="AB20" s="2">
        <v>105692</v>
      </c>
      <c r="AC20" s="1"/>
      <c r="AD20" s="4">
        <v>7867</v>
      </c>
      <c r="AE20" s="5">
        <f>AD20/D20</f>
        <v>6.032744143246041E-2</v>
      </c>
      <c r="AF20" s="6">
        <v>8058</v>
      </c>
      <c r="AG20" s="5">
        <v>6.1617281590518103E-2</v>
      </c>
      <c r="AH20" s="6">
        <v>7847</v>
      </c>
      <c r="AI20" s="5">
        <v>6.0042849491162301E-2</v>
      </c>
      <c r="AJ20" s="6">
        <v>7914</v>
      </c>
      <c r="AK20" s="5">
        <v>6.0204943286852101E-2</v>
      </c>
      <c r="AL20" s="6">
        <v>7703</v>
      </c>
      <c r="AM20" s="5">
        <v>5.8004954856587798E-2</v>
      </c>
      <c r="AN20" s="6">
        <v>8254</v>
      </c>
      <c r="AO20" s="5">
        <v>6.1916299724699801E-2</v>
      </c>
      <c r="AP20" s="6">
        <v>8213</v>
      </c>
      <c r="AQ20" s="5">
        <v>6.1747237049845902E-2</v>
      </c>
      <c r="AR20" s="6">
        <v>8836</v>
      </c>
      <c r="AS20" s="5">
        <v>6.6415117030712095E-2</v>
      </c>
      <c r="AT20" s="6">
        <v>9080</v>
      </c>
      <c r="AU20" s="5">
        <v>6.8481785956708605E-2</v>
      </c>
      <c r="AV20" s="6">
        <v>8742</v>
      </c>
      <c r="AW20" s="5">
        <v>6.6717545600244205E-2</v>
      </c>
      <c r="AX20" s="6">
        <v>8524</v>
      </c>
      <c r="AY20" s="5">
        <v>6.47700677790949E-2</v>
      </c>
      <c r="AZ20" s="6">
        <v>8923</v>
      </c>
      <c r="BA20" s="5">
        <v>6.83299256434408E-2</v>
      </c>
      <c r="BB20" s="6">
        <v>8677</v>
      </c>
      <c r="BC20" s="5">
        <v>6.7923317181616802E-2</v>
      </c>
      <c r="BD20" s="6">
        <v>8843</v>
      </c>
      <c r="BE20" s="5">
        <v>7.0374673712357505E-2</v>
      </c>
      <c r="BF20" s="6">
        <v>9041</v>
      </c>
      <c r="BG20" s="5">
        <v>7.4576019532796606E-2</v>
      </c>
      <c r="BH20" s="6">
        <v>8380</v>
      </c>
      <c r="BI20" s="5">
        <v>7.0851828366096006E-2</v>
      </c>
      <c r="BJ20" s="6">
        <v>8074</v>
      </c>
      <c r="BK20" s="5">
        <v>6.9574059233599606E-2</v>
      </c>
      <c r="BL20" s="6">
        <v>8242</v>
      </c>
      <c r="BM20" s="5">
        <v>7.2621218929801806E-2</v>
      </c>
      <c r="BN20" s="6">
        <v>7696</v>
      </c>
      <c r="BO20" s="5">
        <v>6.8747431797473793E-2</v>
      </c>
      <c r="BP20" s="6">
        <v>7770</v>
      </c>
      <c r="BQ20" s="5">
        <v>7.0396375990939994E-2</v>
      </c>
      <c r="BR20" s="6">
        <v>7898</v>
      </c>
      <c r="BS20" s="5">
        <v>7.1635238950414001E-2</v>
      </c>
      <c r="BT20" s="6">
        <v>7254</v>
      </c>
      <c r="BU20" s="5">
        <v>6.6466308710073502E-2</v>
      </c>
      <c r="BV20" s="6">
        <v>6830</v>
      </c>
      <c r="BW20" s="5">
        <v>6.3395708027028999E-2</v>
      </c>
      <c r="BX20" s="6">
        <v>6325</v>
      </c>
      <c r="BY20" s="5">
        <v>5.9311146744685399E-2</v>
      </c>
      <c r="BZ20" s="6">
        <v>6807</v>
      </c>
      <c r="CA20" s="7">
        <v>6.44041176247966E-2</v>
      </c>
      <c r="CB20" s="8">
        <v>11224</v>
      </c>
      <c r="CC20" s="9">
        <f>CB20/D20</f>
        <v>8.6070319389593961E-2</v>
      </c>
      <c r="CD20" s="8">
        <v>11289</v>
      </c>
      <c r="CE20" s="9">
        <v>8.6323838654177004E-2</v>
      </c>
      <c r="CF20" s="8">
        <v>11481</v>
      </c>
      <c r="CG20" s="9">
        <v>8.7849108577549906E-2</v>
      </c>
      <c r="CH20" s="8">
        <v>11844</v>
      </c>
      <c r="CI20" s="9">
        <v>9.0102015199580096E-2</v>
      </c>
      <c r="CJ20" s="8">
        <v>11077</v>
      </c>
      <c r="CK20" s="9">
        <v>8.3411772679011106E-2</v>
      </c>
      <c r="CL20" s="8">
        <v>12253</v>
      </c>
      <c r="CM20" s="9">
        <v>9.1914274355069797E-2</v>
      </c>
      <c r="CN20" s="8">
        <v>11356</v>
      </c>
      <c r="CO20" s="9">
        <v>8.53770393203519E-2</v>
      </c>
      <c r="CP20" s="8">
        <v>11786</v>
      </c>
      <c r="CQ20" s="9">
        <v>8.8588566016746598E-2</v>
      </c>
      <c r="CR20" s="8">
        <v>11009</v>
      </c>
      <c r="CS20" s="9">
        <v>8.3030394449053496E-2</v>
      </c>
      <c r="CT20" s="8">
        <v>11056</v>
      </c>
      <c r="CU20" s="9">
        <v>8.4377623445012595E-2</v>
      </c>
      <c r="CV20" s="8">
        <v>11537</v>
      </c>
      <c r="CW20" s="9">
        <v>8.7664508677547798E-2</v>
      </c>
      <c r="CX20" s="8">
        <v>11268</v>
      </c>
      <c r="CY20" s="9">
        <v>8.6287302717728401E-2</v>
      </c>
      <c r="CZ20" s="8">
        <v>11144</v>
      </c>
      <c r="DA20" s="9">
        <v>8.7234925282002704E-2</v>
      </c>
      <c r="DB20" s="8">
        <v>11081</v>
      </c>
      <c r="DC20" s="9">
        <v>8.8185204049150104E-2</v>
      </c>
      <c r="DD20" s="8">
        <v>11243</v>
      </c>
      <c r="DE20" s="9">
        <v>9.2739540715322699E-2</v>
      </c>
      <c r="DF20" s="8">
        <v>10065</v>
      </c>
      <c r="DG20" s="9">
        <v>8.5098287888395699E-2</v>
      </c>
      <c r="DH20" s="8">
        <v>10307</v>
      </c>
      <c r="DI20" s="9">
        <v>8.8815931201475198E-2</v>
      </c>
      <c r="DJ20" s="8">
        <v>10272</v>
      </c>
      <c r="DK20" s="9">
        <v>9.0507784621077905E-2</v>
      </c>
      <c r="DL20" s="8">
        <v>10199</v>
      </c>
      <c r="DM20" s="9">
        <v>9.1106426312686506E-2</v>
      </c>
      <c r="DN20" s="8">
        <v>10010</v>
      </c>
      <c r="DO20" s="9">
        <v>9.0690826727066798E-2</v>
      </c>
      <c r="DP20" s="8">
        <v>9963</v>
      </c>
      <c r="DQ20" s="9">
        <v>9.0364888030257703E-2</v>
      </c>
      <c r="DR20" s="8">
        <v>9180</v>
      </c>
      <c r="DS20" s="9">
        <v>8.4113690923418097E-2</v>
      </c>
      <c r="DT20" s="8">
        <v>8746</v>
      </c>
      <c r="DU20" s="9">
        <v>8.1179921289077001E-2</v>
      </c>
      <c r="DV20" s="8">
        <v>8089</v>
      </c>
      <c r="DW20" s="9">
        <v>7.5852627038381096E-2</v>
      </c>
      <c r="DX20" s="8">
        <v>7721</v>
      </c>
      <c r="DY20" s="10">
        <v>7.3051886613934802E-2</v>
      </c>
      <c r="DZ20" s="72">
        <v>-3357</v>
      </c>
      <c r="EA20" s="73">
        <f>DZ20/D20</f>
        <v>-2.5742877957133547E-2</v>
      </c>
      <c r="EB20" s="72">
        <v>-3231</v>
      </c>
      <c r="EC20" s="73">
        <v>-2.4706557063658999E-2</v>
      </c>
      <c r="ED20" s="72">
        <v>-3634</v>
      </c>
      <c r="EE20" s="73">
        <v>-2.7806259086387598E-2</v>
      </c>
      <c r="EF20" s="72">
        <v>-3930</v>
      </c>
      <c r="EG20" s="73">
        <v>-2.9897071912727901E-2</v>
      </c>
      <c r="EH20" s="72">
        <v>-3374</v>
      </c>
      <c r="EI20" s="73">
        <v>-2.5406817822423398E-2</v>
      </c>
      <c r="EJ20" s="72">
        <v>-3999</v>
      </c>
      <c r="EK20" s="73">
        <v>-2.9997974630369999E-2</v>
      </c>
      <c r="EL20" s="72">
        <v>-3143</v>
      </c>
      <c r="EM20" s="73">
        <v>-2.3629802270506001E-2</v>
      </c>
      <c r="EN20" s="72">
        <v>-2950</v>
      </c>
      <c r="EO20" s="73">
        <v>-2.2173448986034499E-2</v>
      </c>
      <c r="EP20" s="72">
        <v>-1929</v>
      </c>
      <c r="EQ20" s="73">
        <v>-1.45486084923448E-2</v>
      </c>
      <c r="ER20" s="72">
        <v>-2314</v>
      </c>
      <c r="ES20" s="73">
        <v>-1.7660077844768401E-2</v>
      </c>
      <c r="ET20" s="72">
        <v>-3013</v>
      </c>
      <c r="EU20" s="73">
        <v>-2.2894440898452901E-2</v>
      </c>
      <c r="EV20" s="72">
        <v>-2345</v>
      </c>
      <c r="EW20" s="73">
        <v>-1.79573770742876E-2</v>
      </c>
      <c r="EX20" s="72">
        <v>-2467</v>
      </c>
      <c r="EY20" s="73">
        <v>-1.9311608100385898E-2</v>
      </c>
      <c r="EZ20" s="72">
        <v>-2238</v>
      </c>
      <c r="FA20" s="73">
        <v>-1.7810530336792502E-2</v>
      </c>
      <c r="FB20" s="72">
        <v>-2202</v>
      </c>
      <c r="FC20" s="73">
        <v>-1.81635211825261E-2</v>
      </c>
      <c r="FD20" s="72">
        <v>-1685</v>
      </c>
      <c r="FE20" s="73">
        <v>-1.42464595222997E-2</v>
      </c>
      <c r="FF20" s="72">
        <v>-2233</v>
      </c>
      <c r="FG20" s="73">
        <v>-1.92418719678756E-2</v>
      </c>
      <c r="FH20" s="72">
        <v>-2030</v>
      </c>
      <c r="FI20" s="73">
        <v>-1.7886565691276099E-2</v>
      </c>
      <c r="FJ20" s="72">
        <v>-2503</v>
      </c>
      <c r="FK20" s="73">
        <v>-2.2358994515212699E-2</v>
      </c>
      <c r="FL20" s="72">
        <v>-2240</v>
      </c>
      <c r="FM20" s="73">
        <v>-2.02944507361268E-2</v>
      </c>
      <c r="FN20" s="72">
        <v>-2065</v>
      </c>
      <c r="FO20" s="73">
        <v>-1.8729649079843601E-2</v>
      </c>
      <c r="FP20" s="72">
        <v>-1926</v>
      </c>
      <c r="FQ20" s="73">
        <v>-1.7647382213344599E-2</v>
      </c>
      <c r="FR20" s="72">
        <v>-1916</v>
      </c>
      <c r="FS20" s="73">
        <v>-1.7784213262048001E-2</v>
      </c>
      <c r="FT20" s="72">
        <v>-1764</v>
      </c>
      <c r="FU20" s="73">
        <v>-1.65414802936957E-2</v>
      </c>
      <c r="FV20" s="72">
        <v>-914</v>
      </c>
      <c r="FW20" s="74">
        <v>-8.6477689891382506E-3</v>
      </c>
      <c r="FX20" s="63">
        <v>1869</v>
      </c>
      <c r="FY20" s="64">
        <f>FX20/D20</f>
        <v>1.4332272535562287E-2</v>
      </c>
      <c r="FZ20" s="63">
        <v>1858</v>
      </c>
      <c r="GA20" s="64">
        <v>1.42076084878608E-2</v>
      </c>
      <c r="GB20" s="63">
        <v>2721</v>
      </c>
      <c r="GC20" s="64">
        <v>2.0820261687963901E-2</v>
      </c>
      <c r="GD20" s="63">
        <v>1787</v>
      </c>
      <c r="GE20" s="64">
        <v>1.3594419213243E-2</v>
      </c>
      <c r="GF20" s="63">
        <v>961</v>
      </c>
      <c r="GG20" s="64">
        <v>7.2365002748514696E-3</v>
      </c>
      <c r="GH20" s="63">
        <v>2118</v>
      </c>
      <c r="GI20" s="64">
        <v>1.58878995416664E-2</v>
      </c>
      <c r="GJ20" s="63">
        <v>1967</v>
      </c>
      <c r="GK20" s="64">
        <v>1.4788361777309999E-2</v>
      </c>
      <c r="GL20" s="63">
        <v>1417</v>
      </c>
      <c r="GM20" s="64">
        <v>1.06507719366816E-2</v>
      </c>
      <c r="GN20" s="63">
        <v>923</v>
      </c>
      <c r="GO20" s="64">
        <v>6.9613092993438402E-3</v>
      </c>
      <c r="GP20" s="63">
        <v>2187</v>
      </c>
      <c r="GQ20" s="64">
        <v>1.6690834160115998E-2</v>
      </c>
      <c r="GR20" s="63">
        <v>837</v>
      </c>
      <c r="GS20" s="64">
        <v>6.3599890580833401E-3</v>
      </c>
      <c r="GT20" s="63">
        <v>1536</v>
      </c>
      <c r="GU20" s="64">
        <v>1.17622734269108E-2</v>
      </c>
      <c r="GV20" s="63">
        <v>3221</v>
      </c>
      <c r="GW20" s="64">
        <v>2.5213899347929902E-2</v>
      </c>
      <c r="GX20" s="63">
        <v>2730</v>
      </c>
      <c r="GY20" s="64">
        <v>2.17259820462214E-2</v>
      </c>
      <c r="GZ20" s="63">
        <v>4086</v>
      </c>
      <c r="HA20" s="64">
        <v>3.3703972548501999E-2</v>
      </c>
      <c r="HB20" s="63">
        <v>3142</v>
      </c>
      <c r="HC20" s="64">
        <v>2.6565208201226001E-2</v>
      </c>
      <c r="HD20" s="63">
        <v>3049</v>
      </c>
      <c r="HE20" s="64">
        <v>2.62733845186085E-2</v>
      </c>
      <c r="HF20" s="63">
        <v>2859</v>
      </c>
      <c r="HG20" s="64">
        <v>2.5190980941555901E-2</v>
      </c>
      <c r="HH20" s="63">
        <v>2589</v>
      </c>
      <c r="HI20" s="64">
        <v>2.3127222053490101E-2</v>
      </c>
      <c r="HJ20" s="63">
        <v>2422</v>
      </c>
      <c r="HK20" s="64">
        <v>2.1943374858437101E-2</v>
      </c>
      <c r="HL20" s="63">
        <v>868</v>
      </c>
      <c r="HM20" s="64">
        <v>7.8728016471207099E-3</v>
      </c>
      <c r="HN20" s="63">
        <v>1915</v>
      </c>
      <c r="HO20" s="64">
        <v>1.7546592387619301E-2</v>
      </c>
      <c r="HP20" s="63">
        <v>2243</v>
      </c>
      <c r="HQ20" s="64">
        <v>2.0819410410633399E-2</v>
      </c>
      <c r="HR20" s="63">
        <v>1840</v>
      </c>
      <c r="HS20" s="64">
        <v>1.7254151780272099E-2</v>
      </c>
      <c r="HT20" s="63">
        <v>1054</v>
      </c>
      <c r="HU20" s="65">
        <v>9.9723725542141296E-3</v>
      </c>
    </row>
    <row r="21" spans="1:229" x14ac:dyDescent="0.3">
      <c r="A21" t="s">
        <v>37</v>
      </c>
      <c r="B21" t="s">
        <v>58</v>
      </c>
      <c r="C21" t="s">
        <v>38</v>
      </c>
      <c r="D21" s="3">
        <v>86806</v>
      </c>
      <c r="E21" s="25">
        <v>86101</v>
      </c>
      <c r="F21" s="25">
        <v>85099</v>
      </c>
      <c r="G21" s="25">
        <v>84774</v>
      </c>
      <c r="H21" s="25">
        <v>83980</v>
      </c>
      <c r="I21" s="25">
        <v>83024</v>
      </c>
      <c r="J21" s="25">
        <v>82275</v>
      </c>
      <c r="K21" s="25">
        <v>82307</v>
      </c>
      <c r="L21" s="25">
        <v>81944</v>
      </c>
      <c r="M21" s="25">
        <v>81280</v>
      </c>
      <c r="N21" s="25">
        <v>81089</v>
      </c>
      <c r="O21" s="25">
        <v>80487</v>
      </c>
      <c r="P21" s="25">
        <v>79610</v>
      </c>
      <c r="Q21" s="25">
        <v>78288</v>
      </c>
      <c r="R21" s="25">
        <v>77589</v>
      </c>
      <c r="S21" s="25">
        <v>77336</v>
      </c>
      <c r="T21" s="25">
        <v>76730</v>
      </c>
      <c r="U21" s="25">
        <v>76576</v>
      </c>
      <c r="V21" s="25">
        <v>75954</v>
      </c>
      <c r="W21" s="25">
        <v>74976</v>
      </c>
      <c r="X21" s="25">
        <v>75122</v>
      </c>
      <c r="Y21" s="25">
        <v>75433</v>
      </c>
      <c r="Z21" s="25">
        <v>74952</v>
      </c>
      <c r="AA21" s="25">
        <v>74668</v>
      </c>
      <c r="AB21" s="2">
        <v>74221</v>
      </c>
      <c r="AC21" s="1"/>
      <c r="AD21" s="4">
        <v>5918</v>
      </c>
      <c r="AE21" s="5">
        <f>AD21/D21</f>
        <v>6.8175010943943973E-2</v>
      </c>
      <c r="AF21" s="6">
        <v>6085</v>
      </c>
      <c r="AG21" s="5">
        <v>7.0672814485313804E-2</v>
      </c>
      <c r="AH21" s="6">
        <v>6137</v>
      </c>
      <c r="AI21" s="5">
        <v>7.2116006063526E-2</v>
      </c>
      <c r="AJ21" s="6">
        <v>6107</v>
      </c>
      <c r="AK21" s="5">
        <v>7.2038596739566405E-2</v>
      </c>
      <c r="AL21" s="6">
        <v>5882</v>
      </c>
      <c r="AM21" s="5">
        <v>7.0040485829959503E-2</v>
      </c>
      <c r="AN21" s="6">
        <v>6475</v>
      </c>
      <c r="AO21" s="5">
        <v>7.7989497012911899E-2</v>
      </c>
      <c r="AP21" s="6">
        <v>6425</v>
      </c>
      <c r="AQ21" s="5">
        <v>7.80917654208447E-2</v>
      </c>
      <c r="AR21" s="6">
        <v>6045</v>
      </c>
      <c r="AS21" s="5">
        <v>7.3444542991483105E-2</v>
      </c>
      <c r="AT21" s="6">
        <v>5802</v>
      </c>
      <c r="AU21" s="5">
        <v>7.0804451820755607E-2</v>
      </c>
      <c r="AV21" s="6">
        <v>5897</v>
      </c>
      <c r="AW21" s="5">
        <v>7.2551673228346394E-2</v>
      </c>
      <c r="AX21" s="6">
        <v>5575</v>
      </c>
      <c r="AY21" s="5">
        <v>6.8751618591917502E-2</v>
      </c>
      <c r="AZ21" s="6">
        <v>5985</v>
      </c>
      <c r="BA21" s="5">
        <v>7.4359834507435996E-2</v>
      </c>
      <c r="BB21" s="6">
        <v>6005</v>
      </c>
      <c r="BC21" s="5">
        <v>7.5430222333877694E-2</v>
      </c>
      <c r="BD21" s="6">
        <v>5906</v>
      </c>
      <c r="BE21" s="5">
        <v>7.5439403229102794E-2</v>
      </c>
      <c r="BF21" s="6">
        <v>5573</v>
      </c>
      <c r="BG21" s="5">
        <v>7.1827191998865794E-2</v>
      </c>
      <c r="BH21" s="6">
        <v>5048</v>
      </c>
      <c r="BI21" s="5">
        <v>6.52736112547843E-2</v>
      </c>
      <c r="BJ21" s="6">
        <v>5198</v>
      </c>
      <c r="BK21" s="5">
        <v>6.7744037534210905E-2</v>
      </c>
      <c r="BL21" s="6">
        <v>5057</v>
      </c>
      <c r="BM21" s="5">
        <v>6.6038967822816597E-2</v>
      </c>
      <c r="BN21" s="6">
        <v>4947</v>
      </c>
      <c r="BO21" s="5">
        <v>6.5131526976854398E-2</v>
      </c>
      <c r="BP21" s="6">
        <v>5174</v>
      </c>
      <c r="BQ21" s="5">
        <v>6.9008749466495906E-2</v>
      </c>
      <c r="BR21" s="6">
        <v>4763</v>
      </c>
      <c r="BS21" s="5">
        <v>6.3403530257447896E-2</v>
      </c>
      <c r="BT21" s="6">
        <v>4855</v>
      </c>
      <c r="BU21" s="5">
        <v>6.4361751488075505E-2</v>
      </c>
      <c r="BV21" s="6">
        <v>4860</v>
      </c>
      <c r="BW21" s="5">
        <v>6.4841498559077795E-2</v>
      </c>
      <c r="BX21" s="6">
        <v>4770</v>
      </c>
      <c r="BY21" s="5">
        <v>6.3882787807360605E-2</v>
      </c>
      <c r="BZ21" s="6">
        <v>4841</v>
      </c>
      <c r="CA21" s="7">
        <v>6.5224127942226595E-2</v>
      </c>
      <c r="CB21" s="8">
        <v>6041</v>
      </c>
      <c r="CC21" s="9">
        <f>CB21/D21</f>
        <v>6.9591963689145914E-2</v>
      </c>
      <c r="CD21" s="8">
        <v>5879</v>
      </c>
      <c r="CE21" s="9">
        <v>6.8280275490412407E-2</v>
      </c>
      <c r="CF21" s="8">
        <v>6016</v>
      </c>
      <c r="CG21" s="9">
        <v>7.0694132716013103E-2</v>
      </c>
      <c r="CH21" s="8">
        <v>5941</v>
      </c>
      <c r="CI21" s="9">
        <v>7.0080449194328404E-2</v>
      </c>
      <c r="CJ21" s="8">
        <v>5546</v>
      </c>
      <c r="CK21" s="9">
        <v>6.6039533222195801E-2</v>
      </c>
      <c r="CL21" s="8">
        <v>5887</v>
      </c>
      <c r="CM21" s="9">
        <v>7.0907207554442103E-2</v>
      </c>
      <c r="CN21" s="8">
        <v>5910</v>
      </c>
      <c r="CO21" s="9">
        <v>7.1832269826800396E-2</v>
      </c>
      <c r="CP21" s="8">
        <v>6086</v>
      </c>
      <c r="CQ21" s="9">
        <v>7.3942678022525396E-2</v>
      </c>
      <c r="CR21" s="8">
        <v>5669</v>
      </c>
      <c r="CS21" s="9">
        <v>6.9181392170262604E-2</v>
      </c>
      <c r="CT21" s="8">
        <v>5701</v>
      </c>
      <c r="CU21" s="9">
        <v>7.0140255905511803E-2</v>
      </c>
      <c r="CV21" s="8">
        <v>5566</v>
      </c>
      <c r="CW21" s="9">
        <v>6.8640629431858793E-2</v>
      </c>
      <c r="CX21" s="8">
        <v>5876</v>
      </c>
      <c r="CY21" s="9">
        <v>7.30055785406339E-2</v>
      </c>
      <c r="CZ21" s="8">
        <v>5571</v>
      </c>
      <c r="DA21" s="9">
        <v>6.9978645898756395E-2</v>
      </c>
      <c r="DB21" s="8">
        <v>5557</v>
      </c>
      <c r="DC21" s="9">
        <v>7.0981504189658706E-2</v>
      </c>
      <c r="DD21" s="8">
        <v>5799</v>
      </c>
      <c r="DE21" s="9">
        <v>7.47399760275297E-2</v>
      </c>
      <c r="DF21" s="8">
        <v>5259</v>
      </c>
      <c r="DG21" s="9">
        <v>6.8001965449467294E-2</v>
      </c>
      <c r="DH21" s="8">
        <v>5226</v>
      </c>
      <c r="DI21" s="9">
        <v>6.8108953473217798E-2</v>
      </c>
      <c r="DJ21" s="8">
        <v>5379</v>
      </c>
      <c r="DK21" s="9">
        <v>7.0243940660259102E-2</v>
      </c>
      <c r="DL21" s="8">
        <v>5275</v>
      </c>
      <c r="DM21" s="9">
        <v>6.9449930220923203E-2</v>
      </c>
      <c r="DN21" s="8">
        <v>5218</v>
      </c>
      <c r="DO21" s="9">
        <v>6.9595603926589797E-2</v>
      </c>
      <c r="DP21" s="8">
        <v>5230</v>
      </c>
      <c r="DQ21" s="9">
        <v>6.96200846622827E-2</v>
      </c>
      <c r="DR21" s="8">
        <v>5273</v>
      </c>
      <c r="DS21" s="9">
        <v>6.9903092810838799E-2</v>
      </c>
      <c r="DT21" s="8">
        <v>4997</v>
      </c>
      <c r="DU21" s="9">
        <v>6.6669335041093E-2</v>
      </c>
      <c r="DV21" s="8">
        <v>4706</v>
      </c>
      <c r="DW21" s="9">
        <v>6.3025660256066901E-2</v>
      </c>
      <c r="DX21" s="8">
        <v>4823</v>
      </c>
      <c r="DY21" s="10">
        <v>6.4981608978590996E-2</v>
      </c>
      <c r="DZ21" s="72">
        <v>-123</v>
      </c>
      <c r="EA21" s="73">
        <f>DZ21/D21</f>
        <v>-1.4169527452019446E-3</v>
      </c>
      <c r="EB21" s="72">
        <v>206</v>
      </c>
      <c r="EC21" s="73">
        <v>2.3925389949013402E-3</v>
      </c>
      <c r="ED21" s="72">
        <v>121</v>
      </c>
      <c r="EE21" s="73">
        <v>1.4218733475128999E-3</v>
      </c>
      <c r="EF21" s="72">
        <v>166</v>
      </c>
      <c r="EG21" s="73">
        <v>1.9581475452379298E-3</v>
      </c>
      <c r="EH21" s="72">
        <v>336</v>
      </c>
      <c r="EI21" s="73">
        <v>4.0009526077637502E-3</v>
      </c>
      <c r="EJ21" s="72">
        <v>588</v>
      </c>
      <c r="EK21" s="73">
        <v>7.0822894584698396E-3</v>
      </c>
      <c r="EL21" s="72">
        <v>515</v>
      </c>
      <c r="EM21" s="73">
        <v>6.25949559404436E-3</v>
      </c>
      <c r="EN21" s="72">
        <v>-41</v>
      </c>
      <c r="EO21" s="73">
        <v>-4.9813503104231696E-4</v>
      </c>
      <c r="EP21" s="72">
        <v>133</v>
      </c>
      <c r="EQ21" s="73">
        <v>1.62305965049302E-3</v>
      </c>
      <c r="ER21" s="72">
        <v>196</v>
      </c>
      <c r="ES21" s="73">
        <v>2.41141732283465E-3</v>
      </c>
      <c r="ET21" s="72">
        <v>9</v>
      </c>
      <c r="EU21" s="73">
        <v>1.10989160058701E-4</v>
      </c>
      <c r="EV21" s="72">
        <v>109</v>
      </c>
      <c r="EW21" s="73">
        <v>1.3542559668020899E-3</v>
      </c>
      <c r="EX21" s="72">
        <v>434</v>
      </c>
      <c r="EY21" s="73">
        <v>5.4515764351212199E-3</v>
      </c>
      <c r="EZ21" s="72">
        <v>349</v>
      </c>
      <c r="FA21" s="73">
        <v>4.4578990394441003E-3</v>
      </c>
      <c r="FB21" s="72">
        <v>-226</v>
      </c>
      <c r="FC21" s="73">
        <v>-2.9127840286638602E-3</v>
      </c>
      <c r="FD21" s="72">
        <v>-211</v>
      </c>
      <c r="FE21" s="73">
        <v>-2.72835419468294E-3</v>
      </c>
      <c r="FF21" s="72">
        <v>-28</v>
      </c>
      <c r="FG21" s="73">
        <v>-3.6491593900690701E-4</v>
      </c>
      <c r="FH21" s="72">
        <v>-322</v>
      </c>
      <c r="FI21" s="73">
        <v>-4.2049728374425402E-3</v>
      </c>
      <c r="FJ21" s="72">
        <v>-328</v>
      </c>
      <c r="FK21" s="73">
        <v>-4.3184032440687801E-3</v>
      </c>
      <c r="FL21" s="72">
        <v>-44</v>
      </c>
      <c r="FM21" s="73">
        <v>-5.8685446009389705E-4</v>
      </c>
      <c r="FN21" s="72">
        <v>-467</v>
      </c>
      <c r="FO21" s="73">
        <v>-6.2165544048348002E-3</v>
      </c>
      <c r="FP21" s="72">
        <v>-418</v>
      </c>
      <c r="FQ21" s="73">
        <v>-5.5413413227632501E-3</v>
      </c>
      <c r="FR21" s="72">
        <v>-137</v>
      </c>
      <c r="FS21" s="73">
        <v>-1.82783648201516E-3</v>
      </c>
      <c r="FT21" s="72">
        <v>64</v>
      </c>
      <c r="FU21" s="73">
        <v>8.5712755129372699E-4</v>
      </c>
      <c r="FV21" s="72">
        <v>18</v>
      </c>
      <c r="FW21" s="74">
        <v>2.42518963635629E-4</v>
      </c>
      <c r="FX21" s="63">
        <v>601</v>
      </c>
      <c r="FY21" s="64">
        <f>FX21/D21</f>
        <v>6.9234845517590947E-3</v>
      </c>
      <c r="FZ21" s="63">
        <v>551</v>
      </c>
      <c r="GA21" s="64">
        <v>6.3994610980127997E-3</v>
      </c>
      <c r="GB21" s="63">
        <v>874</v>
      </c>
      <c r="GC21" s="64">
        <v>1.02703909564155E-2</v>
      </c>
      <c r="GD21" s="63">
        <v>162</v>
      </c>
      <c r="GE21" s="64">
        <v>1.91096326703942E-3</v>
      </c>
      <c r="GF21" s="63">
        <v>620</v>
      </c>
      <c r="GG21" s="64">
        <v>7.3827101690878798E-3</v>
      </c>
      <c r="GH21" s="63">
        <v>395</v>
      </c>
      <c r="GI21" s="64">
        <v>4.7576604355367104E-3</v>
      </c>
      <c r="GJ21" s="63">
        <v>258</v>
      </c>
      <c r="GK21" s="64">
        <v>3.13582497721057E-3</v>
      </c>
      <c r="GL21" s="63">
        <v>36</v>
      </c>
      <c r="GM21" s="64">
        <v>4.3738685652496099E-4</v>
      </c>
      <c r="GN21" s="63">
        <v>244</v>
      </c>
      <c r="GO21" s="64">
        <v>2.9776432685736601E-3</v>
      </c>
      <c r="GP21" s="63">
        <v>454</v>
      </c>
      <c r="GQ21" s="64">
        <v>5.5856299212598401E-3</v>
      </c>
      <c r="GR21" s="63">
        <v>215</v>
      </c>
      <c r="GS21" s="64">
        <v>2.65140771251341E-3</v>
      </c>
      <c r="GT21" s="63">
        <v>446</v>
      </c>
      <c r="GU21" s="64">
        <v>5.5412675338874602E-3</v>
      </c>
      <c r="GV21" s="63">
        <v>485</v>
      </c>
      <c r="GW21" s="64">
        <v>6.0921994724280901E-3</v>
      </c>
      <c r="GX21" s="63">
        <v>976</v>
      </c>
      <c r="GY21" s="64">
        <v>1.24667892908236E-2</v>
      </c>
      <c r="GZ21" s="63">
        <v>803</v>
      </c>
      <c r="HA21" s="64">
        <v>1.0349405199190601E-2</v>
      </c>
      <c r="HB21" s="63">
        <v>441</v>
      </c>
      <c r="HC21" s="64">
        <v>5.70238957277335E-3</v>
      </c>
      <c r="HD21" s="63">
        <v>554</v>
      </c>
      <c r="HE21" s="64">
        <v>7.2201225074938098E-3</v>
      </c>
      <c r="HF21" s="63">
        <v>487</v>
      </c>
      <c r="HG21" s="64">
        <v>6.3596949435854597E-3</v>
      </c>
      <c r="HH21" s="63">
        <v>901</v>
      </c>
      <c r="HI21" s="64">
        <v>1.18624430576401E-2</v>
      </c>
      <c r="HJ21" s="63">
        <v>924</v>
      </c>
      <c r="HK21" s="64">
        <v>1.2323943661971801E-2</v>
      </c>
      <c r="HL21" s="63">
        <v>294</v>
      </c>
      <c r="HM21" s="64">
        <v>3.9136338223156996E-3</v>
      </c>
      <c r="HN21" s="63">
        <v>188</v>
      </c>
      <c r="HO21" s="64">
        <v>2.4922779155011699E-3</v>
      </c>
      <c r="HP21" s="63">
        <v>744</v>
      </c>
      <c r="HQ21" s="64">
        <v>9.9263528658341295E-3</v>
      </c>
      <c r="HR21" s="63">
        <v>304</v>
      </c>
      <c r="HS21" s="64">
        <v>4.0713558686451996E-3</v>
      </c>
      <c r="HT21" s="63">
        <v>461</v>
      </c>
      <c r="HU21" s="65">
        <v>6.2111801242236003E-3</v>
      </c>
    </row>
    <row r="22" spans="1:229" x14ac:dyDescent="0.3">
      <c r="A22" t="s">
        <v>39</v>
      </c>
      <c r="B22" t="s">
        <v>60</v>
      </c>
      <c r="C22" t="s">
        <v>40</v>
      </c>
      <c r="D22" s="3">
        <v>25295</v>
      </c>
      <c r="E22" s="25">
        <v>25392</v>
      </c>
      <c r="F22" s="25">
        <v>25187</v>
      </c>
      <c r="G22" s="25">
        <v>25221</v>
      </c>
      <c r="H22" s="25">
        <v>25332</v>
      </c>
      <c r="I22" s="25">
        <v>25184</v>
      </c>
      <c r="J22" s="25">
        <v>25012</v>
      </c>
      <c r="K22" s="25">
        <v>24871</v>
      </c>
      <c r="L22" s="25">
        <v>24619</v>
      </c>
      <c r="M22" s="25">
        <v>24454</v>
      </c>
      <c r="N22" s="25">
        <v>24408</v>
      </c>
      <c r="O22" s="25">
        <v>24467</v>
      </c>
      <c r="P22" s="25">
        <v>24303</v>
      </c>
      <c r="Q22" s="25">
        <v>24249</v>
      </c>
      <c r="R22" s="25">
        <v>24260</v>
      </c>
      <c r="S22" s="25">
        <v>24166</v>
      </c>
      <c r="T22" s="25">
        <v>24131</v>
      </c>
      <c r="U22" s="25">
        <v>24121</v>
      </c>
      <c r="V22" s="25">
        <v>24056</v>
      </c>
      <c r="W22" s="25">
        <v>24314</v>
      </c>
      <c r="X22" s="25">
        <v>24298</v>
      </c>
      <c r="Y22" s="25">
        <v>24420</v>
      </c>
      <c r="Z22" s="25">
        <v>24652</v>
      </c>
      <c r="AA22" s="25">
        <v>24609</v>
      </c>
      <c r="AB22" s="2">
        <v>24773</v>
      </c>
      <c r="AC22" s="1"/>
      <c r="AD22" s="4">
        <v>1765</v>
      </c>
      <c r="AE22" s="5">
        <f>AD22/D22</f>
        <v>6.9776635698754697E-2</v>
      </c>
      <c r="AF22" s="6">
        <v>1844</v>
      </c>
      <c r="AG22" s="5">
        <v>7.2621298046628896E-2</v>
      </c>
      <c r="AH22" s="6">
        <v>1823</v>
      </c>
      <c r="AI22" s="5">
        <v>7.2378608012069703E-2</v>
      </c>
      <c r="AJ22" s="6">
        <v>1791</v>
      </c>
      <c r="AK22" s="5">
        <v>7.1012251695016099E-2</v>
      </c>
      <c r="AL22" s="6">
        <v>1749</v>
      </c>
      <c r="AM22" s="5">
        <v>6.9043107531975401E-2</v>
      </c>
      <c r="AN22" s="6">
        <v>1926</v>
      </c>
      <c r="AO22" s="5">
        <v>7.6477128335451103E-2</v>
      </c>
      <c r="AP22" s="6">
        <v>1868</v>
      </c>
      <c r="AQ22" s="5">
        <v>7.4684151607228494E-2</v>
      </c>
      <c r="AR22" s="6">
        <v>1911</v>
      </c>
      <c r="AS22" s="5">
        <v>7.6836476217281194E-2</v>
      </c>
      <c r="AT22" s="6">
        <v>1822</v>
      </c>
      <c r="AU22" s="5">
        <v>7.4007880092611403E-2</v>
      </c>
      <c r="AV22" s="6">
        <v>1852</v>
      </c>
      <c r="AW22" s="5">
        <v>7.5734031242332495E-2</v>
      </c>
      <c r="AX22" s="6">
        <v>1842</v>
      </c>
      <c r="AY22" s="5">
        <v>7.5467059980334303E-2</v>
      </c>
      <c r="AZ22" s="6">
        <v>1697</v>
      </c>
      <c r="BA22" s="5">
        <v>6.9358728082723697E-2</v>
      </c>
      <c r="BB22" s="6">
        <v>1783</v>
      </c>
      <c r="BC22" s="5">
        <v>7.3365428136444102E-2</v>
      </c>
      <c r="BD22" s="6">
        <v>1766</v>
      </c>
      <c r="BE22" s="5">
        <v>7.2827745474040195E-2</v>
      </c>
      <c r="BF22" s="6">
        <v>1586</v>
      </c>
      <c r="BG22" s="5">
        <v>6.5375103050288499E-2</v>
      </c>
      <c r="BH22" s="6">
        <v>1603</v>
      </c>
      <c r="BI22" s="5">
        <v>6.6332864354878798E-2</v>
      </c>
      <c r="BJ22" s="6">
        <v>1528</v>
      </c>
      <c r="BK22" s="5">
        <v>6.3321039327006806E-2</v>
      </c>
      <c r="BL22" s="6">
        <v>1562</v>
      </c>
      <c r="BM22" s="5">
        <v>6.4756850876829294E-2</v>
      </c>
      <c r="BN22" s="6">
        <v>1552</v>
      </c>
      <c r="BO22" s="5">
        <v>6.4516129032258104E-2</v>
      </c>
      <c r="BP22" s="6">
        <v>1524</v>
      </c>
      <c r="BQ22" s="5">
        <v>6.26799374845768E-2</v>
      </c>
      <c r="BR22" s="6">
        <v>1528</v>
      </c>
      <c r="BS22" s="5">
        <v>6.28858342250391E-2</v>
      </c>
      <c r="BT22" s="6">
        <v>1481</v>
      </c>
      <c r="BU22" s="5">
        <v>6.0647010647010599E-2</v>
      </c>
      <c r="BV22" s="6">
        <v>1416</v>
      </c>
      <c r="BW22" s="5">
        <v>5.7439558656498503E-2</v>
      </c>
      <c r="BX22" s="6">
        <v>1501</v>
      </c>
      <c r="BY22" s="5">
        <v>6.0993945304563403E-2</v>
      </c>
      <c r="BZ22" s="6">
        <v>1479</v>
      </c>
      <c r="CA22" s="7">
        <v>5.97020950228071E-2</v>
      </c>
      <c r="CB22" s="8">
        <v>1770</v>
      </c>
      <c r="CC22" s="9">
        <f>CB22/D22</f>
        <v>6.997430322198063E-2</v>
      </c>
      <c r="CD22" s="8">
        <v>1876</v>
      </c>
      <c r="CE22" s="9">
        <v>7.3881537492123506E-2</v>
      </c>
      <c r="CF22" s="8">
        <v>1784</v>
      </c>
      <c r="CG22" s="9">
        <v>7.0830190177472496E-2</v>
      </c>
      <c r="CH22" s="8">
        <v>1796</v>
      </c>
      <c r="CI22" s="9">
        <v>7.1210499187185305E-2</v>
      </c>
      <c r="CJ22" s="8">
        <v>1784</v>
      </c>
      <c r="CK22" s="9">
        <v>7.0424759197852502E-2</v>
      </c>
      <c r="CL22" s="8">
        <v>1768</v>
      </c>
      <c r="CM22" s="9">
        <v>7.0203303684879301E-2</v>
      </c>
      <c r="CN22" s="8">
        <v>1697</v>
      </c>
      <c r="CO22" s="9">
        <v>6.7847433232048601E-2</v>
      </c>
      <c r="CP22" s="8">
        <v>1777</v>
      </c>
      <c r="CQ22" s="9">
        <v>7.1448675163845399E-2</v>
      </c>
      <c r="CR22" s="8">
        <v>1607</v>
      </c>
      <c r="CS22" s="9">
        <v>6.5274787765546904E-2</v>
      </c>
      <c r="CT22" s="8">
        <v>1714</v>
      </c>
      <c r="CU22" s="9">
        <v>7.0090782694037804E-2</v>
      </c>
      <c r="CV22" s="8">
        <v>1729</v>
      </c>
      <c r="CW22" s="9">
        <v>7.0837430350704694E-2</v>
      </c>
      <c r="CX22" s="8">
        <v>1730</v>
      </c>
      <c r="CY22" s="9">
        <v>7.0707483549270506E-2</v>
      </c>
      <c r="CZ22" s="8">
        <v>1562</v>
      </c>
      <c r="DA22" s="9">
        <v>6.4271900588404707E-2</v>
      </c>
      <c r="DB22" s="8">
        <v>1656</v>
      </c>
      <c r="DC22" s="9">
        <v>6.8291475937151999E-2</v>
      </c>
      <c r="DD22" s="8">
        <v>1658</v>
      </c>
      <c r="DE22" s="9">
        <v>6.8342951360263804E-2</v>
      </c>
      <c r="DF22" s="8">
        <v>1498</v>
      </c>
      <c r="DG22" s="9">
        <v>6.1987916908052602E-2</v>
      </c>
      <c r="DH22" s="8">
        <v>1569</v>
      </c>
      <c r="DI22" s="9">
        <v>6.5020098628320394E-2</v>
      </c>
      <c r="DJ22" s="8">
        <v>1563</v>
      </c>
      <c r="DK22" s="9">
        <v>6.4798308527838799E-2</v>
      </c>
      <c r="DL22" s="8">
        <v>1573</v>
      </c>
      <c r="DM22" s="9">
        <v>6.5389092118390404E-2</v>
      </c>
      <c r="DN22" s="8">
        <v>1643</v>
      </c>
      <c r="DO22" s="9">
        <v>6.7574237065065407E-2</v>
      </c>
      <c r="DP22" s="8">
        <v>1564</v>
      </c>
      <c r="DQ22" s="9">
        <v>6.4367437649189202E-2</v>
      </c>
      <c r="DR22" s="8">
        <v>1477</v>
      </c>
      <c r="DS22" s="9">
        <v>6.0483210483210502E-2</v>
      </c>
      <c r="DT22" s="8">
        <v>1562</v>
      </c>
      <c r="DU22" s="9">
        <v>6.3361999026448207E-2</v>
      </c>
      <c r="DV22" s="8">
        <v>1569</v>
      </c>
      <c r="DW22" s="9">
        <v>6.3757162013897306E-2</v>
      </c>
      <c r="DX22" s="8">
        <v>1623</v>
      </c>
      <c r="DY22" s="10">
        <v>6.5514875065595599E-2</v>
      </c>
      <c r="DZ22" s="72">
        <v>-5</v>
      </c>
      <c r="EA22" s="73">
        <f>DZ22/D22</f>
        <v>-1.9766752322593399E-4</v>
      </c>
      <c r="EB22" s="72">
        <v>-32</v>
      </c>
      <c r="EC22" s="73">
        <v>-1.2602394454946399E-3</v>
      </c>
      <c r="ED22" s="72">
        <v>39</v>
      </c>
      <c r="EE22" s="73">
        <v>1.54841783459721E-3</v>
      </c>
      <c r="EF22" s="72">
        <v>-5</v>
      </c>
      <c r="EG22" s="73">
        <v>-1.98247492169224E-4</v>
      </c>
      <c r="EH22" s="72">
        <v>-35</v>
      </c>
      <c r="EI22" s="73">
        <v>-1.3816516658771501E-3</v>
      </c>
      <c r="EJ22" s="72">
        <v>158</v>
      </c>
      <c r="EK22" s="73">
        <v>6.2738246505717899E-3</v>
      </c>
      <c r="EL22" s="72">
        <v>171</v>
      </c>
      <c r="EM22" s="73">
        <v>6.83671837517991E-3</v>
      </c>
      <c r="EN22" s="72">
        <v>134</v>
      </c>
      <c r="EO22" s="73">
        <v>5.38780105343573E-3</v>
      </c>
      <c r="EP22" s="72">
        <v>215</v>
      </c>
      <c r="EQ22" s="73">
        <v>8.7330923270644602E-3</v>
      </c>
      <c r="ER22" s="72">
        <v>138</v>
      </c>
      <c r="ES22" s="73">
        <v>5.6432485482947603E-3</v>
      </c>
      <c r="ET22" s="72">
        <v>113</v>
      </c>
      <c r="EU22" s="73">
        <v>4.6296296296296302E-3</v>
      </c>
      <c r="EV22" s="72">
        <v>-33</v>
      </c>
      <c r="EW22" s="73">
        <v>-1.34875546654678E-3</v>
      </c>
      <c r="EX22" s="72">
        <v>221</v>
      </c>
      <c r="EY22" s="73">
        <v>9.0935275480393402E-3</v>
      </c>
      <c r="EZ22" s="72">
        <v>110</v>
      </c>
      <c r="FA22" s="73">
        <v>4.5362695368881198E-3</v>
      </c>
      <c r="FB22" s="72">
        <v>-72</v>
      </c>
      <c r="FC22" s="73">
        <v>-2.9678483099752702E-3</v>
      </c>
      <c r="FD22" s="72">
        <v>105</v>
      </c>
      <c r="FE22" s="73">
        <v>4.3449474468261204E-3</v>
      </c>
      <c r="FF22" s="72">
        <v>-41</v>
      </c>
      <c r="FG22" s="73">
        <v>-1.6990593013136599E-3</v>
      </c>
      <c r="FH22" s="72">
        <v>-1</v>
      </c>
      <c r="FI22" s="73">
        <v>-4.1457651009493803E-5</v>
      </c>
      <c r="FJ22" s="72">
        <v>-21</v>
      </c>
      <c r="FK22" s="73">
        <v>-8.7296308613235801E-4</v>
      </c>
      <c r="FL22" s="72">
        <v>-119</v>
      </c>
      <c r="FM22" s="73">
        <v>-4.8942995804886098E-3</v>
      </c>
      <c r="FN22" s="72">
        <v>-36</v>
      </c>
      <c r="FO22" s="73">
        <v>-1.4816034241501401E-3</v>
      </c>
      <c r="FP22" s="72">
        <v>4</v>
      </c>
      <c r="FQ22" s="73">
        <v>1.6380016380016399E-4</v>
      </c>
      <c r="FR22" s="72">
        <v>-146</v>
      </c>
      <c r="FS22" s="73">
        <v>-5.9224403699497004E-3</v>
      </c>
      <c r="FT22" s="72">
        <v>-68</v>
      </c>
      <c r="FU22" s="73">
        <v>-2.7632167093339802E-3</v>
      </c>
      <c r="FV22" s="72">
        <v>-144</v>
      </c>
      <c r="FW22" s="74">
        <v>-5.8127800427885202E-3</v>
      </c>
      <c r="FX22" s="63">
        <v>108</v>
      </c>
      <c r="FY22" s="64">
        <f>FX22/D22</f>
        <v>4.2696185016801742E-3</v>
      </c>
      <c r="FZ22" s="63">
        <v>23</v>
      </c>
      <c r="GA22" s="64">
        <v>9.0579710144927505E-4</v>
      </c>
      <c r="GB22" s="63">
        <v>273</v>
      </c>
      <c r="GC22" s="64">
        <v>1.08389248421805E-2</v>
      </c>
      <c r="GD22" s="63">
        <v>59</v>
      </c>
      <c r="GE22" s="64">
        <v>2.3393204075968402E-3</v>
      </c>
      <c r="GF22" s="63">
        <v>52</v>
      </c>
      <c r="GG22" s="64">
        <v>2.05273961787462E-3</v>
      </c>
      <c r="GH22" s="63">
        <v>55</v>
      </c>
      <c r="GI22" s="64">
        <v>2.18392630241423E-3</v>
      </c>
      <c r="GJ22" s="63">
        <v>73</v>
      </c>
      <c r="GK22" s="64">
        <v>2.91859907244523E-3</v>
      </c>
      <c r="GL22" s="63">
        <v>4</v>
      </c>
      <c r="GM22" s="64">
        <v>1.60829882192111E-4</v>
      </c>
      <c r="GN22" s="63">
        <v>67</v>
      </c>
      <c r="GO22" s="64">
        <v>2.72147528331776E-3</v>
      </c>
      <c r="GP22" s="63">
        <v>89</v>
      </c>
      <c r="GQ22" s="64">
        <v>3.6394863825958898E-3</v>
      </c>
      <c r="GR22" s="63">
        <v>-3</v>
      </c>
      <c r="GS22" s="64">
        <v>-1.2291052114061E-4</v>
      </c>
      <c r="GT22" s="63">
        <v>45</v>
      </c>
      <c r="GU22" s="64">
        <v>1.8392119998365099E-3</v>
      </c>
      <c r="GV22" s="63">
        <v>2</v>
      </c>
      <c r="GW22" s="64">
        <v>8.2294366950582206E-5</v>
      </c>
      <c r="GX22" s="63">
        <v>31</v>
      </c>
      <c r="GY22" s="64">
        <v>1.27840323312302E-3</v>
      </c>
      <c r="GZ22" s="63">
        <v>95</v>
      </c>
      <c r="HA22" s="64">
        <v>3.9159109645506996E-3</v>
      </c>
      <c r="HB22" s="63">
        <v>2</v>
      </c>
      <c r="HC22" s="64">
        <v>8.2760903749068895E-5</v>
      </c>
      <c r="HD22" s="63">
        <v>114</v>
      </c>
      <c r="HE22" s="64">
        <v>4.7242136670672596E-3</v>
      </c>
      <c r="HF22" s="63">
        <v>40</v>
      </c>
      <c r="HG22" s="64">
        <v>1.6583060403797499E-3</v>
      </c>
      <c r="HH22" s="63">
        <v>93</v>
      </c>
      <c r="HI22" s="64">
        <v>3.8659793814433E-3</v>
      </c>
      <c r="HJ22" s="63">
        <v>-73</v>
      </c>
      <c r="HK22" s="64">
        <v>-3.0023854569383901E-3</v>
      </c>
      <c r="HL22" s="63">
        <v>82</v>
      </c>
      <c r="HM22" s="64">
        <v>3.3747633550086399E-3</v>
      </c>
      <c r="HN22" s="63">
        <v>-3</v>
      </c>
      <c r="HO22" s="64">
        <v>-1.2285012285012301E-4</v>
      </c>
      <c r="HP22" s="63">
        <v>-44</v>
      </c>
      <c r="HQ22" s="64">
        <v>-1.78484504299854E-3</v>
      </c>
      <c r="HR22" s="63">
        <v>119</v>
      </c>
      <c r="HS22" s="64">
        <v>4.8356292413344699E-3</v>
      </c>
      <c r="HT22" s="63">
        <v>62</v>
      </c>
      <c r="HU22" s="65">
        <v>2.50272474064506E-3</v>
      </c>
    </row>
    <row r="23" spans="1:229" x14ac:dyDescent="0.3">
      <c r="A23" t="s">
        <v>41</v>
      </c>
      <c r="B23" t="s">
        <v>61</v>
      </c>
      <c r="C23" t="s">
        <v>42</v>
      </c>
      <c r="D23" s="3">
        <v>60771</v>
      </c>
      <c r="E23" s="25">
        <v>59778</v>
      </c>
      <c r="F23" s="25">
        <v>58541</v>
      </c>
      <c r="G23" s="25">
        <v>58010</v>
      </c>
      <c r="H23" s="25">
        <v>57712</v>
      </c>
      <c r="I23" s="25">
        <v>56660</v>
      </c>
      <c r="J23" s="25">
        <v>56303</v>
      </c>
      <c r="K23" s="25">
        <v>55216</v>
      </c>
      <c r="L23" s="25">
        <v>54311</v>
      </c>
      <c r="M23" s="25">
        <v>54022</v>
      </c>
      <c r="N23" s="25">
        <v>53318</v>
      </c>
      <c r="O23" s="25">
        <v>52592</v>
      </c>
      <c r="P23" s="25">
        <v>51871</v>
      </c>
      <c r="Q23" s="25">
        <v>51515</v>
      </c>
      <c r="R23" s="25">
        <v>50749</v>
      </c>
      <c r="S23" s="25">
        <v>50163</v>
      </c>
      <c r="T23" s="25">
        <v>49290</v>
      </c>
      <c r="U23" s="25">
        <v>48315</v>
      </c>
      <c r="V23" s="25">
        <v>47952</v>
      </c>
      <c r="W23" s="25">
        <v>47845</v>
      </c>
      <c r="X23" s="25">
        <v>47332</v>
      </c>
      <c r="Y23" s="25">
        <v>47225</v>
      </c>
      <c r="Z23" s="25">
        <v>46706</v>
      </c>
      <c r="AA23" s="25">
        <v>46215</v>
      </c>
      <c r="AB23" s="2">
        <v>46528</v>
      </c>
      <c r="AC23" s="1"/>
      <c r="AD23" s="4">
        <v>4496</v>
      </c>
      <c r="AE23" s="5">
        <f>AD23/D23</f>
        <v>7.3982656201148578E-2</v>
      </c>
      <c r="AF23" s="6">
        <v>4612</v>
      </c>
      <c r="AG23" s="5">
        <v>7.7152129545986797E-2</v>
      </c>
      <c r="AH23" s="6">
        <v>4706</v>
      </c>
      <c r="AI23" s="5">
        <v>8.0388104063818494E-2</v>
      </c>
      <c r="AJ23" s="6">
        <v>4606</v>
      </c>
      <c r="AK23" s="5">
        <v>7.9400103430443E-2</v>
      </c>
      <c r="AL23" s="6">
        <v>4185</v>
      </c>
      <c r="AM23" s="5">
        <v>7.2515248128638798E-2</v>
      </c>
      <c r="AN23" s="6">
        <v>4783</v>
      </c>
      <c r="AO23" s="5">
        <v>8.4415813625132397E-2</v>
      </c>
      <c r="AP23" s="6">
        <v>4734</v>
      </c>
      <c r="AQ23" s="5">
        <v>8.4080777223238506E-2</v>
      </c>
      <c r="AR23" s="6">
        <v>4723</v>
      </c>
      <c r="AS23" s="5">
        <v>8.5536800927267495E-2</v>
      </c>
      <c r="AT23" s="6">
        <v>4407</v>
      </c>
      <c r="AU23" s="5">
        <v>8.1143783027379304E-2</v>
      </c>
      <c r="AV23" s="6">
        <v>4014</v>
      </c>
      <c r="AW23" s="5">
        <v>7.4303061715597293E-2</v>
      </c>
      <c r="AX23" s="6">
        <v>4094</v>
      </c>
      <c r="AY23" s="5">
        <v>7.6784575565475105E-2</v>
      </c>
      <c r="AZ23" s="6">
        <v>3786</v>
      </c>
      <c r="BA23" s="5">
        <v>7.19881350775783E-2</v>
      </c>
      <c r="BB23" s="6">
        <v>3943</v>
      </c>
      <c r="BC23" s="5">
        <v>7.6015499990360696E-2</v>
      </c>
      <c r="BD23" s="6">
        <v>3804</v>
      </c>
      <c r="BE23" s="5">
        <v>7.3842570125206203E-2</v>
      </c>
      <c r="BF23" s="6">
        <v>3870</v>
      </c>
      <c r="BG23" s="5">
        <v>7.6257660249462997E-2</v>
      </c>
      <c r="BH23" s="6">
        <v>3563</v>
      </c>
      <c r="BI23" s="5">
        <v>7.10284472619261E-2</v>
      </c>
      <c r="BJ23" s="6">
        <v>3611</v>
      </c>
      <c r="BK23" s="5">
        <v>7.3260296206127007E-2</v>
      </c>
      <c r="BL23" s="6">
        <v>3699</v>
      </c>
      <c r="BM23" s="5">
        <v>7.6560074511021398E-2</v>
      </c>
      <c r="BN23" s="6">
        <v>3686</v>
      </c>
      <c r="BO23" s="5">
        <v>7.6868535201868496E-2</v>
      </c>
      <c r="BP23" s="6">
        <v>3476</v>
      </c>
      <c r="BQ23" s="5">
        <v>7.2651269725154094E-2</v>
      </c>
      <c r="BR23" s="6">
        <v>3483</v>
      </c>
      <c r="BS23" s="5">
        <v>7.3586579903659299E-2</v>
      </c>
      <c r="BT23" s="6">
        <v>3265</v>
      </c>
      <c r="BU23" s="5">
        <v>6.9137109581789299E-2</v>
      </c>
      <c r="BV23" s="6">
        <v>3411</v>
      </c>
      <c r="BW23" s="5">
        <v>7.3031302188155706E-2</v>
      </c>
      <c r="BX23" s="6">
        <v>3191</v>
      </c>
      <c r="BY23" s="5">
        <v>6.9046846262036096E-2</v>
      </c>
      <c r="BZ23" s="6">
        <v>3106</v>
      </c>
      <c r="CA23" s="7">
        <v>6.67555020632737E-2</v>
      </c>
      <c r="CB23" s="8">
        <v>4937</v>
      </c>
      <c r="CC23" s="9">
        <f>CB23/D23</f>
        <v>8.123940695397476E-2</v>
      </c>
      <c r="CD23" s="8">
        <v>4715</v>
      </c>
      <c r="CE23" s="9">
        <v>7.8875171467764099E-2</v>
      </c>
      <c r="CF23" s="8">
        <v>5169</v>
      </c>
      <c r="CG23" s="9">
        <v>8.8297090927725905E-2</v>
      </c>
      <c r="CH23" s="8">
        <v>4944</v>
      </c>
      <c r="CI23" s="9">
        <v>8.5226685054301005E-2</v>
      </c>
      <c r="CJ23" s="8">
        <v>4494</v>
      </c>
      <c r="CK23" s="9">
        <v>7.7869420571111694E-2</v>
      </c>
      <c r="CL23" s="8">
        <v>4449</v>
      </c>
      <c r="CM23" s="9">
        <v>7.8521002470878898E-2</v>
      </c>
      <c r="CN23" s="8">
        <v>4723</v>
      </c>
      <c r="CO23" s="9">
        <v>8.3885405751025696E-2</v>
      </c>
      <c r="CP23" s="8">
        <v>4331</v>
      </c>
      <c r="CQ23" s="9">
        <v>7.8437409446537196E-2</v>
      </c>
      <c r="CR23" s="8">
        <v>4153</v>
      </c>
      <c r="CS23" s="9">
        <v>7.6467014048719403E-2</v>
      </c>
      <c r="CT23" s="8">
        <v>4234</v>
      </c>
      <c r="CU23" s="9">
        <v>7.8375476657657997E-2</v>
      </c>
      <c r="CV23" s="8">
        <v>4016</v>
      </c>
      <c r="CW23" s="9">
        <v>7.5321654975805494E-2</v>
      </c>
      <c r="CX23" s="8">
        <v>4164</v>
      </c>
      <c r="CY23" s="9">
        <v>7.9175540006084594E-2</v>
      </c>
      <c r="CZ23" s="8">
        <v>3829</v>
      </c>
      <c r="DA23" s="9">
        <v>7.3817740163096904E-2</v>
      </c>
      <c r="DB23" s="8">
        <v>4083</v>
      </c>
      <c r="DC23" s="9">
        <v>7.9258468407260002E-2</v>
      </c>
      <c r="DD23" s="8">
        <v>3929</v>
      </c>
      <c r="DE23" s="9">
        <v>7.7420244733886395E-2</v>
      </c>
      <c r="DF23" s="8">
        <v>3640</v>
      </c>
      <c r="DG23" s="9">
        <v>7.2563443175248696E-2</v>
      </c>
      <c r="DH23" s="8">
        <v>3656</v>
      </c>
      <c r="DI23" s="9">
        <v>7.4173260296206106E-2</v>
      </c>
      <c r="DJ23" s="8">
        <v>3538</v>
      </c>
      <c r="DK23" s="9">
        <v>7.3227776052985596E-2</v>
      </c>
      <c r="DL23" s="8">
        <v>3638</v>
      </c>
      <c r="DM23" s="9">
        <v>7.5867534200867504E-2</v>
      </c>
      <c r="DN23" s="8">
        <v>3975</v>
      </c>
      <c r="DO23" s="9">
        <v>8.3080781690876807E-2</v>
      </c>
      <c r="DP23" s="8">
        <v>3732</v>
      </c>
      <c r="DQ23" s="9">
        <v>7.8847291472999195E-2</v>
      </c>
      <c r="DR23" s="8">
        <v>3634</v>
      </c>
      <c r="DS23" s="9">
        <v>7.6950767601905806E-2</v>
      </c>
      <c r="DT23" s="8">
        <v>3342</v>
      </c>
      <c r="DU23" s="9">
        <v>7.15539759345694E-2</v>
      </c>
      <c r="DV23" s="8">
        <v>3147</v>
      </c>
      <c r="DW23" s="9">
        <v>6.8094774423888393E-2</v>
      </c>
      <c r="DX23" s="8">
        <v>3380</v>
      </c>
      <c r="DY23" s="10">
        <v>7.2644429160935303E-2</v>
      </c>
      <c r="DZ23" s="72">
        <v>-441</v>
      </c>
      <c r="EA23" s="73">
        <f>DZ23/D23</f>
        <v>-7.2567507528261835E-3</v>
      </c>
      <c r="EB23" s="72">
        <v>-103</v>
      </c>
      <c r="EC23" s="73">
        <v>-1.7230419217772401E-3</v>
      </c>
      <c r="ED23" s="72">
        <v>-463</v>
      </c>
      <c r="EE23" s="73">
        <v>-7.90898686390735E-3</v>
      </c>
      <c r="EF23" s="72">
        <v>-338</v>
      </c>
      <c r="EG23" s="73">
        <v>-5.82658162385796E-3</v>
      </c>
      <c r="EH23" s="72">
        <v>-309</v>
      </c>
      <c r="EI23" s="73">
        <v>-5.3541724424729696E-3</v>
      </c>
      <c r="EJ23" s="72">
        <v>334</v>
      </c>
      <c r="EK23" s="73">
        <v>5.8948111542534397E-3</v>
      </c>
      <c r="EL23" s="72">
        <v>11</v>
      </c>
      <c r="EM23" s="73">
        <v>1.9537147221284799E-4</v>
      </c>
      <c r="EN23" s="72">
        <v>392</v>
      </c>
      <c r="EO23" s="73">
        <v>7.0993914807302204E-3</v>
      </c>
      <c r="EP23" s="72">
        <v>254</v>
      </c>
      <c r="EQ23" s="73">
        <v>4.67676897865994E-3</v>
      </c>
      <c r="ER23" s="72">
        <v>-220</v>
      </c>
      <c r="ES23" s="73">
        <v>-4.0724149420606403E-3</v>
      </c>
      <c r="ET23" s="72">
        <v>78</v>
      </c>
      <c r="EU23" s="73">
        <v>1.4629205896695299E-3</v>
      </c>
      <c r="EV23" s="72">
        <v>-378</v>
      </c>
      <c r="EW23" s="73">
        <v>-7.1874049285062403E-3</v>
      </c>
      <c r="EX23" s="72">
        <v>114</v>
      </c>
      <c r="EY23" s="73">
        <v>2.1977598272637901E-3</v>
      </c>
      <c r="EZ23" s="72">
        <v>-279</v>
      </c>
      <c r="FA23" s="73">
        <v>-5.4158982820537698E-3</v>
      </c>
      <c r="FB23" s="72">
        <v>-59</v>
      </c>
      <c r="FC23" s="73">
        <v>-1.1625844844233399E-3</v>
      </c>
      <c r="FD23" s="72">
        <v>-77</v>
      </c>
      <c r="FE23" s="73">
        <v>-1.5349959133225701E-3</v>
      </c>
      <c r="FF23" s="72">
        <v>-45</v>
      </c>
      <c r="FG23" s="73">
        <v>-9.1296409007912401E-4</v>
      </c>
      <c r="FH23" s="72">
        <v>161</v>
      </c>
      <c r="FI23" s="73">
        <v>3.3322984580358098E-3</v>
      </c>
      <c r="FJ23" s="72">
        <v>48</v>
      </c>
      <c r="FK23" s="73">
        <v>1.0010010010009999E-3</v>
      </c>
      <c r="FL23" s="72">
        <v>-499</v>
      </c>
      <c r="FM23" s="73">
        <v>-1.04295119657226E-2</v>
      </c>
      <c r="FN23" s="72">
        <v>-249</v>
      </c>
      <c r="FO23" s="73">
        <v>-5.2607115693399801E-3</v>
      </c>
      <c r="FP23" s="72">
        <v>-369</v>
      </c>
      <c r="FQ23" s="73">
        <v>-7.8136580201164599E-3</v>
      </c>
      <c r="FR23" s="72">
        <v>69</v>
      </c>
      <c r="FS23" s="73">
        <v>1.47732625358626E-3</v>
      </c>
      <c r="FT23" s="72">
        <v>44</v>
      </c>
      <c r="FU23" s="73">
        <v>9.5207183814778704E-4</v>
      </c>
      <c r="FV23" s="72">
        <v>-274</v>
      </c>
      <c r="FW23" s="74">
        <v>-5.8889270976616196E-3</v>
      </c>
      <c r="FX23" s="63">
        <v>680</v>
      </c>
      <c r="FY23" s="64">
        <f>FX23/D23</f>
        <v>1.118954764608119E-2</v>
      </c>
      <c r="FZ23" s="63">
        <v>994</v>
      </c>
      <c r="GA23" s="64">
        <v>1.6628190973267801E-2</v>
      </c>
      <c r="GB23" s="63">
        <v>1675</v>
      </c>
      <c r="GC23" s="64">
        <v>2.8612425479578402E-2</v>
      </c>
      <c r="GD23" s="63">
        <v>673</v>
      </c>
      <c r="GE23" s="64">
        <v>1.16014480262024E-2</v>
      </c>
      <c r="GF23" s="63">
        <v>638</v>
      </c>
      <c r="GG23" s="64">
        <v>1.10548932630995E-2</v>
      </c>
      <c r="GH23" s="63">
        <v>621</v>
      </c>
      <c r="GI23" s="64">
        <v>1.0960112954465201E-2</v>
      </c>
      <c r="GJ23" s="63">
        <v>332</v>
      </c>
      <c r="GK23" s="64">
        <v>5.8966662522423304E-3</v>
      </c>
      <c r="GL23" s="63">
        <v>676</v>
      </c>
      <c r="GM23" s="64">
        <v>1.2242828165749099E-2</v>
      </c>
      <c r="GN23" s="63">
        <v>529</v>
      </c>
      <c r="GO23" s="64">
        <v>9.7401999594925494E-3</v>
      </c>
      <c r="GP23" s="63">
        <v>524</v>
      </c>
      <c r="GQ23" s="64">
        <v>9.6997519529080697E-3</v>
      </c>
      <c r="GR23" s="63">
        <v>454</v>
      </c>
      <c r="GS23" s="64">
        <v>8.5149480475636696E-3</v>
      </c>
      <c r="GT23" s="63">
        <v>882</v>
      </c>
      <c r="GU23" s="64">
        <v>1.67706114998479E-2</v>
      </c>
      <c r="GV23" s="63">
        <v>466</v>
      </c>
      <c r="GW23" s="64">
        <v>8.9838252588151403E-3</v>
      </c>
      <c r="GX23" s="63">
        <v>500</v>
      </c>
      <c r="GY23" s="64">
        <v>9.7059108997379403E-3</v>
      </c>
      <c r="GZ23" s="63">
        <v>610</v>
      </c>
      <c r="HA23" s="64">
        <v>1.2019941279631101E-2</v>
      </c>
      <c r="HB23" s="63">
        <v>465</v>
      </c>
      <c r="HC23" s="64">
        <v>9.2697805155194102E-3</v>
      </c>
      <c r="HD23" s="63">
        <v>790</v>
      </c>
      <c r="HE23" s="64">
        <v>1.60275918036113E-2</v>
      </c>
      <c r="HF23" s="63">
        <v>672</v>
      </c>
      <c r="HG23" s="64">
        <v>1.3908723998758201E-2</v>
      </c>
      <c r="HH23" s="63">
        <v>303</v>
      </c>
      <c r="HI23" s="64">
        <v>6.3188188188188204E-3</v>
      </c>
      <c r="HJ23" s="63">
        <v>571</v>
      </c>
      <c r="HK23" s="64">
        <v>1.19343714076706E-2</v>
      </c>
      <c r="HL23" s="63">
        <v>649</v>
      </c>
      <c r="HM23" s="64">
        <v>1.37116538494042E-2</v>
      </c>
      <c r="HN23" s="63">
        <v>401</v>
      </c>
      <c r="HO23" s="64">
        <v>8.4912652196929596E-3</v>
      </c>
      <c r="HP23" s="63">
        <v>401</v>
      </c>
      <c r="HQ23" s="64">
        <v>8.5856206911317599E-3</v>
      </c>
      <c r="HR23" s="63">
        <v>449</v>
      </c>
      <c r="HS23" s="64">
        <v>9.7154603483717399E-3</v>
      </c>
      <c r="HT23" s="63">
        <v>8</v>
      </c>
      <c r="HU23" s="65">
        <v>1.71939477303989E-4</v>
      </c>
    </row>
    <row r="24" spans="1:229" x14ac:dyDescent="0.3">
      <c r="A24" t="s">
        <v>43</v>
      </c>
      <c r="B24" t="s">
        <v>62</v>
      </c>
      <c r="C24" t="s">
        <v>44</v>
      </c>
      <c r="D24" s="26">
        <v>42571</v>
      </c>
      <c r="E24" s="27">
        <v>42497</v>
      </c>
      <c r="F24" s="27">
        <v>42216</v>
      </c>
      <c r="G24" s="27">
        <v>41996</v>
      </c>
      <c r="H24" s="27">
        <v>42119</v>
      </c>
      <c r="I24" s="27">
        <v>41824</v>
      </c>
      <c r="J24" s="27">
        <v>41580</v>
      </c>
      <c r="K24" s="27">
        <v>41217</v>
      </c>
      <c r="L24" s="27">
        <v>41207</v>
      </c>
      <c r="M24" s="27">
        <v>41077</v>
      </c>
      <c r="N24" s="27">
        <v>40841</v>
      </c>
      <c r="O24" s="27">
        <v>40535</v>
      </c>
      <c r="P24" s="27">
        <v>40037</v>
      </c>
      <c r="Q24" s="27">
        <v>39494</v>
      </c>
      <c r="R24" s="27">
        <v>39077</v>
      </c>
      <c r="S24" s="27">
        <v>38957</v>
      </c>
      <c r="T24" s="27">
        <v>38654</v>
      </c>
      <c r="U24" s="27">
        <v>38554</v>
      </c>
      <c r="V24" s="27">
        <v>38232</v>
      </c>
      <c r="W24" s="27">
        <v>37920</v>
      </c>
      <c r="X24" s="27">
        <v>37742</v>
      </c>
      <c r="Y24" s="27">
        <v>37740</v>
      </c>
      <c r="Z24" s="27">
        <v>37761</v>
      </c>
      <c r="AA24" s="27">
        <v>37791</v>
      </c>
      <c r="AB24" s="28">
        <v>37922</v>
      </c>
      <c r="AC24" s="11"/>
      <c r="AD24" s="12">
        <v>3159</v>
      </c>
      <c r="AE24" s="13">
        <f>AD24/D24</f>
        <v>7.4205445021258601E-2</v>
      </c>
      <c r="AF24" s="14">
        <v>3158</v>
      </c>
      <c r="AG24" s="13">
        <v>7.4311127844318398E-2</v>
      </c>
      <c r="AH24" s="14">
        <v>3138</v>
      </c>
      <c r="AI24" s="13">
        <v>7.4332006822057997E-2</v>
      </c>
      <c r="AJ24" s="14">
        <v>3091</v>
      </c>
      <c r="AK24" s="13">
        <v>7.3602247833126994E-2</v>
      </c>
      <c r="AL24" s="14">
        <v>2946</v>
      </c>
      <c r="AM24" s="13">
        <v>6.9944680547971205E-2</v>
      </c>
      <c r="AN24" s="14">
        <v>2989</v>
      </c>
      <c r="AO24" s="13">
        <v>7.1466143840856894E-2</v>
      </c>
      <c r="AP24" s="14">
        <v>3227</v>
      </c>
      <c r="AQ24" s="13">
        <v>7.76094276094276E-2</v>
      </c>
      <c r="AR24" s="14">
        <v>3217</v>
      </c>
      <c r="AS24" s="13">
        <v>7.8050319043113298E-2</v>
      </c>
      <c r="AT24" s="14">
        <v>3159</v>
      </c>
      <c r="AU24" s="13">
        <v>7.6661732229960894E-2</v>
      </c>
      <c r="AV24" s="14">
        <v>2957</v>
      </c>
      <c r="AW24" s="13">
        <v>7.1986756579107497E-2</v>
      </c>
      <c r="AX24" s="14">
        <v>2935</v>
      </c>
      <c r="AY24" s="13">
        <v>7.1864058176832099E-2</v>
      </c>
      <c r="AZ24" s="14">
        <v>2901</v>
      </c>
      <c r="BA24" s="13">
        <v>7.1567780930060401E-2</v>
      </c>
      <c r="BB24" s="14">
        <v>2956</v>
      </c>
      <c r="BC24" s="13">
        <v>7.3831705672253195E-2</v>
      </c>
      <c r="BD24" s="14">
        <v>2939</v>
      </c>
      <c r="BE24" s="13">
        <v>7.4416367043095094E-2</v>
      </c>
      <c r="BF24" s="14">
        <v>3018</v>
      </c>
      <c r="BG24" s="13">
        <v>7.7232131432812101E-2</v>
      </c>
      <c r="BH24" s="14">
        <v>2522</v>
      </c>
      <c r="BI24" s="13">
        <v>6.4738044510614295E-2</v>
      </c>
      <c r="BJ24" s="14">
        <v>2621</v>
      </c>
      <c r="BK24" s="13">
        <v>6.7806695296735095E-2</v>
      </c>
      <c r="BL24" s="14">
        <v>2644</v>
      </c>
      <c r="BM24" s="13">
        <v>6.8579135757638604E-2</v>
      </c>
      <c r="BN24" s="14">
        <v>2830</v>
      </c>
      <c r="BO24" s="13">
        <v>7.4021761874869196E-2</v>
      </c>
      <c r="BP24" s="14">
        <v>2656</v>
      </c>
      <c r="BQ24" s="13">
        <v>7.0042194092826998E-2</v>
      </c>
      <c r="BR24" s="14">
        <v>2503</v>
      </c>
      <c r="BS24" s="13">
        <v>6.6318690053521298E-2</v>
      </c>
      <c r="BT24" s="14">
        <v>2460</v>
      </c>
      <c r="BU24" s="13">
        <v>6.5182829888712199E-2</v>
      </c>
      <c r="BV24" s="14">
        <v>2254</v>
      </c>
      <c r="BW24" s="13">
        <v>5.9691215804666201E-2</v>
      </c>
      <c r="BX24" s="14">
        <v>2288</v>
      </c>
      <c r="BY24" s="13">
        <v>6.0543515651874803E-2</v>
      </c>
      <c r="BZ24" s="14">
        <v>2373</v>
      </c>
      <c r="CA24" s="15">
        <v>6.2575813511945605E-2</v>
      </c>
      <c r="CB24" s="16">
        <v>3169</v>
      </c>
      <c r="CC24" s="17">
        <f>CB24/D24</f>
        <v>7.444034671489981E-2</v>
      </c>
      <c r="CD24" s="16">
        <v>3123</v>
      </c>
      <c r="CE24" s="17">
        <v>7.3487540296962098E-2</v>
      </c>
      <c r="CF24" s="16">
        <v>3286</v>
      </c>
      <c r="CG24" s="17">
        <v>7.7837786621186303E-2</v>
      </c>
      <c r="CH24" s="16">
        <v>3251</v>
      </c>
      <c r="CI24" s="17">
        <v>7.7412134488998904E-2</v>
      </c>
      <c r="CJ24" s="16">
        <v>2989</v>
      </c>
      <c r="CK24" s="17">
        <v>7.0965597473824193E-2</v>
      </c>
      <c r="CL24" s="16">
        <v>2952</v>
      </c>
      <c r="CM24" s="17">
        <v>7.0581484315225707E-2</v>
      </c>
      <c r="CN24" s="16">
        <v>3073</v>
      </c>
      <c r="CO24" s="17">
        <v>7.3905723905723905E-2</v>
      </c>
      <c r="CP24" s="16">
        <v>2937</v>
      </c>
      <c r="CQ24" s="17">
        <v>7.12570056044836E-2</v>
      </c>
      <c r="CR24" s="16">
        <v>3100</v>
      </c>
      <c r="CS24" s="17">
        <v>7.5229936661246902E-2</v>
      </c>
      <c r="CT24" s="16">
        <v>3053</v>
      </c>
      <c r="CU24" s="17">
        <v>7.4323830854249304E-2</v>
      </c>
      <c r="CV24" s="16">
        <v>3003</v>
      </c>
      <c r="CW24" s="17">
        <v>7.3529051688254493E-2</v>
      </c>
      <c r="CX24" s="16">
        <v>2939</v>
      </c>
      <c r="CY24" s="17">
        <v>7.2505242383125695E-2</v>
      </c>
      <c r="CZ24" s="16">
        <v>3005</v>
      </c>
      <c r="DA24" s="17">
        <v>7.5055573594425204E-2</v>
      </c>
      <c r="DB24" s="16">
        <v>2777</v>
      </c>
      <c r="DC24" s="17">
        <v>7.0314478148579496E-2</v>
      </c>
      <c r="DD24" s="16">
        <v>2830</v>
      </c>
      <c r="DE24" s="17">
        <v>7.2421117281265199E-2</v>
      </c>
      <c r="DF24" s="16">
        <v>2582</v>
      </c>
      <c r="DG24" s="17">
        <v>6.6278204173832705E-2</v>
      </c>
      <c r="DH24" s="16">
        <v>2749</v>
      </c>
      <c r="DI24" s="17">
        <v>7.1118124902985497E-2</v>
      </c>
      <c r="DJ24" s="16">
        <v>2717</v>
      </c>
      <c r="DK24" s="17">
        <v>7.0472583908284495E-2</v>
      </c>
      <c r="DL24" s="16">
        <v>2757</v>
      </c>
      <c r="DM24" s="17">
        <v>7.2112366603892003E-2</v>
      </c>
      <c r="DN24" s="16">
        <v>2731</v>
      </c>
      <c r="DO24" s="17">
        <v>7.2020042194092804E-2</v>
      </c>
      <c r="DP24" s="16">
        <v>2690</v>
      </c>
      <c r="DQ24" s="17">
        <v>7.1273382438662505E-2</v>
      </c>
      <c r="DR24" s="16">
        <v>2581</v>
      </c>
      <c r="DS24" s="17">
        <v>6.8388977212506599E-2</v>
      </c>
      <c r="DT24" s="16">
        <v>2551</v>
      </c>
      <c r="DU24" s="17">
        <v>6.7556473610338702E-2</v>
      </c>
      <c r="DV24" s="16">
        <v>2547</v>
      </c>
      <c r="DW24" s="17">
        <v>6.7396999285544198E-2</v>
      </c>
      <c r="DX24" s="16">
        <v>2496</v>
      </c>
      <c r="DY24" s="18">
        <v>6.5819313327356105E-2</v>
      </c>
      <c r="DZ24" s="75">
        <v>-10</v>
      </c>
      <c r="EA24" s="76">
        <f>DZ24/D24</f>
        <v>-2.3490169364121115E-4</v>
      </c>
      <c r="EB24" s="75">
        <v>35</v>
      </c>
      <c r="EC24" s="76">
        <v>8.2358754735628397E-4</v>
      </c>
      <c r="ED24" s="75">
        <v>-148</v>
      </c>
      <c r="EE24" s="76">
        <v>-3.5057797991282901E-3</v>
      </c>
      <c r="EF24" s="75">
        <v>-160</v>
      </c>
      <c r="EG24" s="76">
        <v>-3.8098866558719901E-3</v>
      </c>
      <c r="EH24" s="75">
        <v>-43</v>
      </c>
      <c r="EI24" s="76">
        <v>-1.0209169258529401E-3</v>
      </c>
      <c r="EJ24" s="75">
        <v>37</v>
      </c>
      <c r="EK24" s="76">
        <v>8.8465952563121595E-4</v>
      </c>
      <c r="EL24" s="75">
        <v>154</v>
      </c>
      <c r="EM24" s="76">
        <v>3.7037037037036999E-3</v>
      </c>
      <c r="EN24" s="75">
        <v>280</v>
      </c>
      <c r="EO24" s="76">
        <v>6.7933134386296903E-3</v>
      </c>
      <c r="EP24" s="75">
        <v>59</v>
      </c>
      <c r="EQ24" s="76">
        <v>1.4317955687140501E-3</v>
      </c>
      <c r="ER24" s="75">
        <v>-96</v>
      </c>
      <c r="ES24" s="76">
        <v>-2.3370742751418101E-3</v>
      </c>
      <c r="ET24" s="75">
        <v>-68</v>
      </c>
      <c r="EU24" s="76">
        <v>-1.66499351142235E-3</v>
      </c>
      <c r="EV24" s="75">
        <v>-38</v>
      </c>
      <c r="EW24" s="76">
        <v>-9.3746145306525198E-4</v>
      </c>
      <c r="EX24" s="75">
        <v>-49</v>
      </c>
      <c r="EY24" s="76">
        <v>-1.22386792217199E-3</v>
      </c>
      <c r="EZ24" s="75">
        <v>162</v>
      </c>
      <c r="FA24" s="76">
        <v>4.1018888945156201E-3</v>
      </c>
      <c r="FB24" s="75">
        <v>188</v>
      </c>
      <c r="FC24" s="76">
        <v>4.8110141515469501E-3</v>
      </c>
      <c r="FD24" s="75">
        <v>-60</v>
      </c>
      <c r="FE24" s="76">
        <v>-1.54015966321842E-3</v>
      </c>
      <c r="FF24" s="75">
        <v>-128</v>
      </c>
      <c r="FG24" s="76">
        <v>-3.3114296062503202E-3</v>
      </c>
      <c r="FH24" s="75">
        <v>-73</v>
      </c>
      <c r="FI24" s="76">
        <v>-1.89344815064585E-3</v>
      </c>
      <c r="FJ24" s="75">
        <v>73</v>
      </c>
      <c r="FK24" s="76">
        <v>1.9093952709771901E-3</v>
      </c>
      <c r="FL24" s="75">
        <v>-75</v>
      </c>
      <c r="FM24" s="76">
        <v>-1.9778481012658199E-3</v>
      </c>
      <c r="FN24" s="75">
        <v>-187</v>
      </c>
      <c r="FO24" s="76">
        <v>-4.9546923851412203E-3</v>
      </c>
      <c r="FP24" s="75">
        <v>-121</v>
      </c>
      <c r="FQ24" s="76">
        <v>-3.2061473237943801E-3</v>
      </c>
      <c r="FR24" s="75">
        <v>-297</v>
      </c>
      <c r="FS24" s="76">
        <v>-7.8652578056725205E-3</v>
      </c>
      <c r="FT24" s="75">
        <v>-259</v>
      </c>
      <c r="FU24" s="76">
        <v>-6.85348363366939E-3</v>
      </c>
      <c r="FV24" s="75">
        <v>-123</v>
      </c>
      <c r="FW24" s="77">
        <v>-3.2434998154105802E-3</v>
      </c>
      <c r="FX24" s="66">
        <v>63</v>
      </c>
      <c r="FY24" s="67">
        <f>FX24/D24</f>
        <v>1.4798806699396303E-3</v>
      </c>
      <c r="FZ24" s="66">
        <v>94</v>
      </c>
      <c r="GA24" s="67">
        <v>2.2119208414711601E-3</v>
      </c>
      <c r="GB24" s="66">
        <v>519</v>
      </c>
      <c r="GC24" s="67">
        <v>1.2293916998294499E-2</v>
      </c>
      <c r="GD24" s="66">
        <v>427</v>
      </c>
      <c r="GE24" s="67">
        <v>1.01676350128584E-2</v>
      </c>
      <c r="GF24" s="66">
        <v>6</v>
      </c>
      <c r="GG24" s="67">
        <v>1.4245352453762E-4</v>
      </c>
      <c r="GH24" s="66">
        <v>269</v>
      </c>
      <c r="GI24" s="67">
        <v>6.4317138485080298E-3</v>
      </c>
      <c r="GJ24" s="66">
        <v>107</v>
      </c>
      <c r="GK24" s="67">
        <v>2.57335257335257E-3</v>
      </c>
      <c r="GL24" s="66">
        <v>100</v>
      </c>
      <c r="GM24" s="67">
        <v>2.4261833709391801E-3</v>
      </c>
      <c r="GN24" s="66">
        <v>-72</v>
      </c>
      <c r="GO24" s="67">
        <v>-1.7472759482612199E-3</v>
      </c>
      <c r="GP24" s="66">
        <v>246</v>
      </c>
      <c r="GQ24" s="67">
        <v>5.9887528300508804E-3</v>
      </c>
      <c r="GR24" s="66">
        <v>274</v>
      </c>
      <c r="GS24" s="67">
        <v>6.7089444430841602E-3</v>
      </c>
      <c r="GT24" s="66">
        <v>399</v>
      </c>
      <c r="GU24" s="67">
        <v>9.8433452571851498E-3</v>
      </c>
      <c r="GV24" s="66">
        <v>487</v>
      </c>
      <c r="GW24" s="67">
        <v>1.2163748532607301E-2</v>
      </c>
      <c r="GX24" s="66">
        <v>337</v>
      </c>
      <c r="GY24" s="67">
        <v>8.5329417126652207E-3</v>
      </c>
      <c r="GZ24" s="66">
        <v>175</v>
      </c>
      <c r="HA24" s="67">
        <v>4.4783376410676397E-3</v>
      </c>
      <c r="HB24" s="66">
        <v>98</v>
      </c>
      <c r="HC24" s="67">
        <v>2.5155941165900899E-3</v>
      </c>
      <c r="HD24" s="66">
        <v>406</v>
      </c>
      <c r="HE24" s="67">
        <v>1.05034407823252E-2</v>
      </c>
      <c r="HF24" s="66">
        <v>179</v>
      </c>
      <c r="HG24" s="67">
        <v>4.6428386159672102E-3</v>
      </c>
      <c r="HH24" s="66">
        <v>150</v>
      </c>
      <c r="HI24" s="67">
        <v>3.9234149403640896E-3</v>
      </c>
      <c r="HJ24" s="66">
        <v>273</v>
      </c>
      <c r="HK24" s="67">
        <v>7.1993670886076003E-3</v>
      </c>
      <c r="HL24" s="66">
        <v>291</v>
      </c>
      <c r="HM24" s="67">
        <v>7.7102432303534502E-3</v>
      </c>
      <c r="HN24" s="66">
        <v>80</v>
      </c>
      <c r="HO24" s="67">
        <v>2.11976682564918E-3</v>
      </c>
      <c r="HP24" s="66">
        <v>233</v>
      </c>
      <c r="HQ24" s="67">
        <v>6.1703874367733903E-3</v>
      </c>
      <c r="HR24" s="66">
        <v>138</v>
      </c>
      <c r="HS24" s="67">
        <v>3.6516630943875502E-3</v>
      </c>
      <c r="HT24" s="66">
        <v>-83</v>
      </c>
      <c r="HU24" s="68">
        <v>-2.1887031274721801E-3</v>
      </c>
    </row>
    <row r="25" spans="1:229" x14ac:dyDescent="0.3">
      <c r="D25" s="1"/>
      <c r="E25" s="1"/>
      <c r="F25" s="1"/>
      <c r="G25" s="1"/>
      <c r="H25" s="1"/>
      <c r="I25" s="1"/>
      <c r="J25" s="1"/>
      <c r="K25" s="1"/>
      <c r="L25" s="1"/>
      <c r="M25" s="19"/>
      <c r="N25" s="1"/>
      <c r="O25" s="1"/>
      <c r="P25" s="1"/>
      <c r="Q25" s="19"/>
      <c r="R25" s="1"/>
      <c r="S25" s="1"/>
      <c r="T25" s="1"/>
      <c r="U25" s="19"/>
      <c r="V25" s="1"/>
      <c r="W25" s="1"/>
      <c r="X25" s="1"/>
      <c r="Y25" s="1"/>
      <c r="Z25" s="1"/>
      <c r="AA25" s="1"/>
      <c r="AB25" s="1"/>
      <c r="AC25" s="1"/>
    </row>
    <row r="26" spans="1:229" x14ac:dyDescent="0.3">
      <c r="A26" t="s">
        <v>45</v>
      </c>
      <c r="D26" s="1"/>
      <c r="E26" s="1"/>
      <c r="F26" s="1"/>
      <c r="G26" s="1"/>
      <c r="H26" s="1"/>
      <c r="I26" s="1"/>
      <c r="J26" s="1"/>
      <c r="K26" s="1"/>
      <c r="L26" s="1"/>
      <c r="M26" s="19"/>
      <c r="N26" s="1"/>
      <c r="O26" s="1"/>
      <c r="P26" s="1"/>
      <c r="Q26" s="19"/>
      <c r="R26" s="1"/>
      <c r="S26" s="1"/>
      <c r="T26" s="1"/>
      <c r="U26" s="19"/>
      <c r="V26" s="1"/>
      <c r="W26" s="1"/>
      <c r="X26" s="1"/>
      <c r="Y26" s="1"/>
      <c r="Z26" s="1"/>
      <c r="AA26" s="1"/>
      <c r="AB26" s="1"/>
      <c r="AC26" s="1"/>
    </row>
    <row r="27" spans="1:229" x14ac:dyDescent="0.3">
      <c r="A27" t="s">
        <v>46</v>
      </c>
      <c r="D27" s="1"/>
      <c r="E27" s="1"/>
      <c r="F27" s="1"/>
      <c r="G27" s="1"/>
      <c r="H27" s="1"/>
      <c r="I27" s="1"/>
      <c r="J27" s="1"/>
      <c r="K27" s="1"/>
      <c r="L27" s="1"/>
      <c r="M27" s="19"/>
      <c r="N27" s="1"/>
      <c r="O27" s="1"/>
      <c r="P27" s="1"/>
      <c r="Q27" s="19"/>
      <c r="R27" s="1"/>
      <c r="S27" s="1"/>
      <c r="T27" s="1"/>
      <c r="U27" s="19"/>
      <c r="V27" s="1"/>
      <c r="W27" s="1"/>
      <c r="X27" s="1"/>
      <c r="Y27" s="1"/>
      <c r="Z27" s="1"/>
      <c r="AA27" s="1"/>
      <c r="AB27" s="1"/>
      <c r="AC27" s="1"/>
    </row>
    <row r="28" spans="1:229" x14ac:dyDescent="0.3">
      <c r="A28" t="s">
        <v>47</v>
      </c>
      <c r="D28" s="1"/>
      <c r="E28" s="1"/>
      <c r="F28" s="1"/>
      <c r="G28" s="1"/>
      <c r="H28" s="1"/>
      <c r="I28" s="1"/>
      <c r="J28" s="1"/>
      <c r="K28" s="1"/>
      <c r="L28" s="1"/>
      <c r="M28" s="19"/>
      <c r="N28" s="1"/>
      <c r="O28" s="1"/>
      <c r="P28" s="1"/>
      <c r="Q28" s="19"/>
      <c r="R28" s="1"/>
      <c r="S28" s="1"/>
      <c r="T28" s="1"/>
      <c r="U28" s="19"/>
      <c r="V28" s="1"/>
      <c r="W28" s="1"/>
      <c r="X28" s="1"/>
      <c r="Y28" s="1"/>
      <c r="Z28" s="1"/>
      <c r="AA28" s="1"/>
      <c r="AB28" s="1"/>
      <c r="AC28" s="1"/>
    </row>
  </sheetData>
  <mergeCells count="15">
    <mergeCell ref="AD3:CA3"/>
    <mergeCell ref="DZ2:FW2"/>
    <mergeCell ref="CB2:DY2"/>
    <mergeCell ref="DZ1:FW1"/>
    <mergeCell ref="FX2:HU2"/>
    <mergeCell ref="FX3:HU3"/>
    <mergeCell ref="DZ3:FW3"/>
    <mergeCell ref="CB3:DY3"/>
    <mergeCell ref="A1:AG1"/>
    <mergeCell ref="G3:J3"/>
    <mergeCell ref="K3:N3"/>
    <mergeCell ref="O3:R3"/>
    <mergeCell ref="S3:V3"/>
    <mergeCell ref="D2:AB2"/>
    <mergeCell ref="AD2:CA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2000-2024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Pieter-Jan Devos</dc:creator>
  <cp:lastModifiedBy>Pieter-Jan Devos</cp:lastModifiedBy>
  <dcterms:created xsi:type="dcterms:W3CDTF">2026-04-27T14:19:32Z</dcterms:created>
  <dcterms:modified xsi:type="dcterms:W3CDTF">2026-04-27T14:36:16Z</dcterms:modified>
</cp:coreProperties>
</file>